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HeroInfluencetmp\Assets\_ProtoType_Merge\ASB\Data\Excel\"/>
    </mc:Choice>
  </mc:AlternateContent>
  <xr:revisionPtr revIDLastSave="0" documentId="13_ncr:1_{0C1ECDEF-71C8-4C2E-BAEA-83A093A32C16}" xr6:coauthVersionLast="36" xr6:coauthVersionMax="36" xr10:uidLastSave="{00000000-0000-0000-0000-000000000000}"/>
  <bookViews>
    <workbookView xWindow="0" yWindow="0" windowWidth="22260" windowHeight="12650" activeTab="3" xr2:uid="{00000000-000D-0000-FFFF-FFFF00000000}"/>
  </bookViews>
  <sheets>
    <sheet name="문서 개요" sheetId="6" r:id="rId1"/>
    <sheet name="적 난이도" sheetId="1" r:id="rId2"/>
    <sheet name="EnemyGroup" sheetId="3" r:id="rId3"/>
    <sheet name="EnemyUnitInfo" sheetId="2" r:id="rId4"/>
    <sheet name="UnitGrowthExp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" i="1" l="1"/>
  <c r="L30" i="1"/>
  <c r="L31" i="1"/>
  <c r="L28" i="1"/>
</calcChain>
</file>

<file path=xl/sharedStrings.xml><?xml version="1.0" encoding="utf-8"?>
<sst xmlns="http://schemas.openxmlformats.org/spreadsheetml/2006/main" count="268" uniqueCount="184">
  <si>
    <t>1단계</t>
    <phoneticPr fontId="4" type="noConversion"/>
  </si>
  <si>
    <t>난이도</t>
    <phoneticPr fontId="4" type="noConversion"/>
  </si>
  <si>
    <t>2단계</t>
    <phoneticPr fontId="4" type="noConversion"/>
  </si>
  <si>
    <t>3단계</t>
    <phoneticPr fontId="4" type="noConversion"/>
  </si>
  <si>
    <t>4단계</t>
    <phoneticPr fontId="4" type="noConversion"/>
  </si>
  <si>
    <t>5단계</t>
    <phoneticPr fontId="4" type="noConversion"/>
  </si>
  <si>
    <t>자원형 기준</t>
    <phoneticPr fontId="4" type="noConversion"/>
  </si>
  <si>
    <t>협회 강화 1회</t>
    <phoneticPr fontId="4" type="noConversion"/>
  </si>
  <si>
    <t>협회 강화 1~2회</t>
    <phoneticPr fontId="4" type="noConversion"/>
  </si>
  <si>
    <t>협회 강화 3~4회</t>
    <phoneticPr fontId="4" type="noConversion"/>
  </si>
  <si>
    <t>전투 3~4회</t>
    <phoneticPr fontId="4" type="noConversion"/>
  </si>
  <si>
    <t>전투 3회</t>
    <phoneticPr fontId="4" type="noConversion"/>
  </si>
  <si>
    <t>전투 2회</t>
    <phoneticPr fontId="4" type="noConversion"/>
  </si>
  <si>
    <t>전투 1회</t>
    <phoneticPr fontId="4" type="noConversion"/>
  </si>
  <si>
    <t>초기 상태</t>
    <phoneticPr fontId="4" type="noConversion"/>
  </si>
  <si>
    <t>전투형 기준</t>
    <phoneticPr fontId="4" type="noConversion"/>
  </si>
  <si>
    <t>초반 전투 학습</t>
    <phoneticPr fontId="4" type="noConversion"/>
  </si>
  <si>
    <t>초반 성장 확인</t>
    <phoneticPr fontId="4" type="noConversion"/>
  </si>
  <si>
    <t>중반 관문</t>
    <phoneticPr fontId="4" type="noConversion"/>
  </si>
  <si>
    <t>후반 관문</t>
    <phoneticPr fontId="4" type="noConversion"/>
  </si>
  <si>
    <t>보스/최종 검증</t>
    <phoneticPr fontId="4" type="noConversion"/>
  </si>
  <si>
    <t>적 수</t>
    <phoneticPr fontId="4" type="noConversion"/>
  </si>
  <si>
    <t xml:space="preserve">협회 강화 4~5회 </t>
    <phoneticPr fontId="4" type="noConversion"/>
  </si>
  <si>
    <t>최소 라운드수</t>
    <phoneticPr fontId="4" type="noConversion"/>
  </si>
  <si>
    <t>최대 라운드수</t>
    <phoneticPr fontId="4" type="noConversion"/>
  </si>
  <si>
    <t>구성</t>
    <phoneticPr fontId="4" type="noConversion"/>
  </si>
  <si>
    <t>하급 2</t>
    <phoneticPr fontId="4" type="noConversion"/>
  </si>
  <si>
    <t>하급 3</t>
    <phoneticPr fontId="4" type="noConversion"/>
  </si>
  <si>
    <t>하급 2+중급1</t>
    <phoneticPr fontId="4" type="noConversion"/>
  </si>
  <si>
    <t>하급 2+중급2</t>
    <phoneticPr fontId="4" type="noConversion"/>
  </si>
  <si>
    <t>하급2+중급2+상급1</t>
    <phoneticPr fontId="4" type="noConversion"/>
  </si>
  <si>
    <t>잔여 HP</t>
    <phoneticPr fontId="4" type="noConversion"/>
  </si>
  <si>
    <t>일부 생존</t>
    <phoneticPr fontId="4" type="noConversion"/>
  </si>
  <si>
    <t>평균 90% 이상</t>
    <phoneticPr fontId="4" type="noConversion"/>
  </si>
  <si>
    <t>평균 75%~90%</t>
    <phoneticPr fontId="4" type="noConversion"/>
  </si>
  <si>
    <t>평균 60%~75%</t>
    <phoneticPr fontId="4" type="noConversion"/>
  </si>
  <si>
    <t>평균 40~60%</t>
    <phoneticPr fontId="4" type="noConversion"/>
  </si>
  <si>
    <t>#Comment</t>
    <phoneticPr fontId="5" type="noConversion"/>
  </si>
  <si>
    <t>적군 유닛 테이블</t>
    <phoneticPr fontId="5" type="noConversion"/>
  </si>
  <si>
    <t>#Type</t>
    <phoneticPr fontId="5" type="noConversion"/>
  </si>
  <si>
    <t>int</t>
    <phoneticPr fontId="5" type="noConversion"/>
  </si>
  <si>
    <t>string</t>
    <phoneticPr fontId="5" type="noConversion"/>
  </si>
  <si>
    <t>percent</t>
    <phoneticPr fontId="5" type="noConversion"/>
  </si>
  <si>
    <t>list&lt;int&gt;</t>
    <phoneticPr fontId="5" type="noConversion"/>
  </si>
  <si>
    <t>#Name</t>
    <phoneticPr fontId="5" type="noConversion"/>
  </si>
  <si>
    <t>EnemyIndex</t>
    <phoneticPr fontId="5" type="noConversion"/>
  </si>
  <si>
    <t>EnemyName</t>
    <phoneticPr fontId="5" type="noConversion"/>
  </si>
  <si>
    <t>EnemyConcept</t>
    <phoneticPr fontId="5" type="noConversion"/>
  </si>
  <si>
    <t>UnitMaxHP</t>
    <phoneticPr fontId="5" type="noConversion"/>
  </si>
  <si>
    <t>UnitATK</t>
    <phoneticPr fontId="5" type="noConversion"/>
  </si>
  <si>
    <t>UnitDEF</t>
    <phoneticPr fontId="5" type="noConversion"/>
  </si>
  <si>
    <t>CriticalRate</t>
    <phoneticPr fontId="5" type="noConversion"/>
  </si>
  <si>
    <t>CounterRate</t>
    <phoneticPr fontId="5" type="noConversion"/>
  </si>
  <si>
    <t>ReduceRate</t>
    <phoneticPr fontId="5" type="noConversion"/>
  </si>
  <si>
    <t>Speed</t>
    <phoneticPr fontId="5" type="noConversion"/>
  </si>
  <si>
    <t>EnemySkill1
Name</t>
    <phoneticPr fontId="5" type="noConversion"/>
  </si>
  <si>
    <t>EnemySkill1
Description</t>
    <phoneticPr fontId="5" type="noConversion"/>
  </si>
  <si>
    <t>EnemySkill1Effect</t>
    <phoneticPr fontId="5" type="noConversion"/>
  </si>
  <si>
    <t>EnemySkill1Range</t>
    <phoneticPr fontId="5" type="noConversion"/>
  </si>
  <si>
    <t>EnemySkill1RangeLine</t>
    <phoneticPr fontId="5" type="noConversion"/>
  </si>
  <si>
    <t>EnemySkill1Target</t>
    <phoneticPr fontId="5" type="noConversion"/>
  </si>
  <si>
    <t>EnemySkill1MultiTarget</t>
    <phoneticPr fontId="5" type="noConversion"/>
  </si>
  <si>
    <t>EnemySkill1
MultiTargetType</t>
    <phoneticPr fontId="5" type="noConversion"/>
  </si>
  <si>
    <t>EnemySkill1
MultiTargetCount</t>
    <phoneticPr fontId="5" type="noConversion"/>
  </si>
  <si>
    <t>EnemySkill1Value</t>
    <phoneticPr fontId="5" type="noConversion"/>
  </si>
  <si>
    <t>EnemySkill2
Name</t>
    <phoneticPr fontId="5" type="noConversion"/>
  </si>
  <si>
    <t>EnemySkill2
Description</t>
    <phoneticPr fontId="5" type="noConversion"/>
  </si>
  <si>
    <t>EnemySkill2Effect</t>
    <phoneticPr fontId="5" type="noConversion"/>
  </si>
  <si>
    <t>EnemySkill2Range</t>
    <phoneticPr fontId="5" type="noConversion"/>
  </si>
  <si>
    <t>EnemySkill2RangeLine</t>
    <phoneticPr fontId="5" type="noConversion"/>
  </si>
  <si>
    <t>EnemySkill2Target</t>
    <phoneticPr fontId="5" type="noConversion"/>
  </si>
  <si>
    <t>EnemySkill2MultiTarget</t>
    <phoneticPr fontId="5" type="noConversion"/>
  </si>
  <si>
    <t>EnemySkill2
MultiTargetType</t>
    <phoneticPr fontId="5" type="noConversion"/>
  </si>
  <si>
    <t>EnemySkill2
MultiTargetCount</t>
    <phoneticPr fontId="5" type="noConversion"/>
  </si>
  <si>
    <t>EnemySkill2Value</t>
    <phoneticPr fontId="5" type="noConversion"/>
  </si>
  <si>
    <t>UnitAI</t>
    <phoneticPr fontId="5" type="noConversion"/>
  </si>
  <si>
    <t>ExperiencePoint</t>
    <phoneticPr fontId="5" type="noConversion"/>
  </si>
  <si>
    <t>#Data</t>
    <phoneticPr fontId="5" type="noConversion"/>
  </si>
  <si>
    <t>LowerVillian</t>
  </si>
  <si>
    <t>하급 빌런</t>
  </si>
  <si>
    <t>하급 빌런 스킬1</t>
  </si>
  <si>
    <t>상대 전열 또는 후열 단일 공격 (전열 우선)</t>
    <phoneticPr fontId="5" type="noConversion"/>
  </si>
  <si>
    <t>하급 빌런 스킬2</t>
    <phoneticPr fontId="5" type="noConversion"/>
  </si>
  <si>
    <t>상대 1열을 전체 공격 (전열 우선)</t>
    <phoneticPr fontId="5" type="noConversion"/>
  </si>
  <si>
    <t>{9}</t>
  </si>
  <si>
    <t>70% 확률로 스킬1, 30% 확률로 스킬2</t>
    <phoneticPr fontId="5" type="noConversion"/>
  </si>
  <si>
    <t>MiddleVillian</t>
  </si>
  <si>
    <t>중급 빌런</t>
  </si>
  <si>
    <t>중급 빌런 스킬1</t>
  </si>
  <si>
    <t>상대 전열 또는 후열 단일 공격</t>
    <phoneticPr fontId="5" type="noConversion"/>
  </si>
  <si>
    <t>중급 빌런 스킬2</t>
  </si>
  <si>
    <t>자신의 체력 50 단일 회복</t>
    <phoneticPr fontId="5" type="noConversion"/>
  </si>
  <si>
    <t>일반 상황에서는 스킬1(50:50 확률로 젼열 또는 후열 타깃), 체력 60 이하 시 스킬2</t>
    <phoneticPr fontId="5" type="noConversion"/>
  </si>
  <si>
    <t>AdvancedVillian</t>
  </si>
  <si>
    <t>상급 빌런</t>
  </si>
  <si>
    <t>상급 빌런 스킬1</t>
  </si>
  <si>
    <t>상급 빌런 스킬2</t>
  </si>
  <si>
    <t>상대 전체 공격</t>
    <phoneticPr fontId="5" type="noConversion"/>
  </si>
  <si>
    <t>70% 확률로 스킬1 (70% 확률로 상대 후열 우선), 30% 확률로 스킬2</t>
    <phoneticPr fontId="5" type="noConversion"/>
  </si>
  <si>
    <t>#End</t>
    <phoneticPr fontId="5" type="noConversion"/>
  </si>
  <si>
    <t>적군 유닛
인덱스</t>
    <phoneticPr fontId="5" type="noConversion"/>
  </si>
  <si>
    <t>적군 유닛명</t>
    <phoneticPr fontId="5" type="noConversion"/>
  </si>
  <si>
    <t>인게임용 적군 유닛 콘셉트</t>
    <phoneticPr fontId="5" type="noConversion"/>
  </si>
  <si>
    <t>유닛 최대 체력</t>
    <phoneticPr fontId="5" type="noConversion"/>
  </si>
  <si>
    <t>유닛 공격력</t>
    <phoneticPr fontId="5" type="noConversion"/>
  </si>
  <si>
    <t>유닛 방어력</t>
    <phoneticPr fontId="5" type="noConversion"/>
  </si>
  <si>
    <t>치명타율</t>
    <phoneticPr fontId="5" type="noConversion"/>
  </si>
  <si>
    <t>반격율</t>
    <phoneticPr fontId="5" type="noConversion"/>
  </si>
  <si>
    <t>회피율</t>
    <phoneticPr fontId="5" type="noConversion"/>
  </si>
  <si>
    <t>스피드</t>
    <phoneticPr fontId="5" type="noConversion"/>
  </si>
  <si>
    <t>적군 스킬1 스킬명</t>
    <phoneticPr fontId="5" type="noConversion"/>
  </si>
  <si>
    <t>적군 스킬1
설명</t>
    <phoneticPr fontId="5" type="noConversion"/>
  </si>
  <si>
    <t>적군 스킬 1 효과
(0 공격 1 회복 2 부활)</t>
  </si>
  <si>
    <t>적군 스킬 1 사정거리
(0 근거리 1 원거리)</t>
    <phoneticPr fontId="5" type="noConversion"/>
  </si>
  <si>
    <t>적군 스킬 1
사정거리 라인
0 전열 우선 (전열이 있을 경우 전열 공격) 
1 전열/후열 선택 가능
2 후열 우선</t>
    <phoneticPr fontId="5" type="noConversion"/>
  </si>
  <si>
    <t>적군 스킬 1 대상
(0 단일 1 복수 2 전체)</t>
    <phoneticPr fontId="5" type="noConversion"/>
  </si>
  <si>
    <t>적군 스킬 1 복수 대상
(스킬 대상 1일 경우)</t>
    <phoneticPr fontId="5" type="noConversion"/>
  </si>
  <si>
    <t>적군 스킬 1
복수 대상 타입
(0 후보 전체 1 랜덤)
(스킬 대상 1일 경우)</t>
    <phoneticPr fontId="5" type="noConversion"/>
  </si>
  <si>
    <t>적군 스킬 1
복수 추가 대상 수
(스킬 대상 1일 경우)</t>
    <phoneticPr fontId="5" type="noConversion"/>
  </si>
  <si>
    <t>적군 스킬 1 계수</t>
    <phoneticPr fontId="5" type="noConversion"/>
  </si>
  <si>
    <t>적군 스킬2 스킬명</t>
    <phoneticPr fontId="5" type="noConversion"/>
  </si>
  <si>
    <t>적군 스킬2
설명</t>
    <phoneticPr fontId="5" type="noConversion"/>
  </si>
  <si>
    <t>적군 스킬 2 효과
(0 공격 1 회복 2 부활)</t>
  </si>
  <si>
    <t>적군 스킬 2 사정거리
(0 근거리 1 원거리)</t>
    <phoneticPr fontId="5" type="noConversion"/>
  </si>
  <si>
    <t>적군 스킬 2
사정거리 라인
0 전열 우선 (전열이 있을 경우 전열 공격) 
1 전열/후열 선택 가능
2 후열 우선</t>
    <phoneticPr fontId="5" type="noConversion"/>
  </si>
  <si>
    <t>적군 스킬 2 대상
(0 단일 1 복수 2 전체)</t>
    <phoneticPr fontId="5" type="noConversion"/>
  </si>
  <si>
    <t>적군 스킬 2 복수 대상
(스킬 대상 1일 경우)</t>
    <phoneticPr fontId="5" type="noConversion"/>
  </si>
  <si>
    <t>적군 스킬 2
복수 대상 타입
(0 후보 전체 1 랜덤)
(스킬 대상 1일 경우)</t>
    <phoneticPr fontId="5" type="noConversion"/>
  </si>
  <si>
    <t>적군 스킬 2
복수 추가 대상 수
(스킬 대상 1일 경우)</t>
    <phoneticPr fontId="5" type="noConversion"/>
  </si>
  <si>
    <t>적군 스킬 2 계수</t>
    <phoneticPr fontId="5" type="noConversion"/>
  </si>
  <si>
    <t>적군 유닛 행동 규칙</t>
    <phoneticPr fontId="5" type="noConversion"/>
  </si>
  <si>
    <t>경험치</t>
    <phoneticPr fontId="5" type="noConversion"/>
  </si>
  <si>
    <t>Enemy1</t>
    <phoneticPr fontId="5" type="noConversion"/>
  </si>
  <si>
    <t>Enemy2</t>
    <phoneticPr fontId="5" type="noConversion"/>
  </si>
  <si>
    <t>Enemy3</t>
    <phoneticPr fontId="5" type="noConversion"/>
  </si>
  <si>
    <t>Enemy4</t>
    <phoneticPr fontId="5" type="noConversion"/>
  </si>
  <si>
    <t>Enemy5</t>
    <phoneticPr fontId="5" type="noConversion"/>
  </si>
  <si>
    <t>Enemy1Slot</t>
    <phoneticPr fontId="4" type="noConversion"/>
  </si>
  <si>
    <t>Enemy2Slot</t>
    <phoneticPr fontId="4" type="noConversion"/>
  </si>
  <si>
    <t>Enemy3Slot</t>
    <phoneticPr fontId="4" type="noConversion"/>
  </si>
  <si>
    <t>Enemy4Slot</t>
    <phoneticPr fontId="4" type="noConversion"/>
  </si>
  <si>
    <t>Enemy5Slot</t>
    <phoneticPr fontId="4" type="noConversion"/>
  </si>
  <si>
    <t>유닛 종류
(하급: 20001,
중급: 20002,
상급: 20003</t>
    <phoneticPr fontId="5" type="noConversion"/>
  </si>
  <si>
    <t>유닛 위치</t>
    <phoneticPr fontId="4" type="noConversion"/>
  </si>
  <si>
    <t>적군 부대 테이블</t>
    <phoneticPr fontId="5" type="noConversion"/>
  </si>
  <si>
    <t>게임 승리</t>
    <phoneticPr fontId="4" type="noConversion"/>
  </si>
  <si>
    <t>얻는 총경험치</t>
    <phoneticPr fontId="4" type="noConversion"/>
  </si>
  <si>
    <t>인당 경험치</t>
    <phoneticPr fontId="4" type="noConversion"/>
  </si>
  <si>
    <t>하급</t>
    <phoneticPr fontId="4" type="noConversion"/>
  </si>
  <si>
    <t>중급</t>
    <phoneticPr fontId="4" type="noConversion"/>
  </si>
  <si>
    <t>상급</t>
    <phoneticPr fontId="4" type="noConversion"/>
  </si>
  <si>
    <t>아군 유닛 스테이터스 데이터 테이블</t>
    <phoneticPr fontId="5" type="noConversion"/>
  </si>
  <si>
    <t>Level</t>
    <phoneticPr fontId="5" type="noConversion"/>
  </si>
  <si>
    <t>Rank</t>
    <phoneticPr fontId="5" type="noConversion"/>
  </si>
  <si>
    <t>NeedExpieriencePoint</t>
    <phoneticPr fontId="5" type="noConversion"/>
  </si>
  <si>
    <t>GuardianStudySkill</t>
    <phoneticPr fontId="5" type="noConversion"/>
  </si>
  <si>
    <t>BlasterStudySkill</t>
    <phoneticPr fontId="5" type="noConversion"/>
  </si>
  <si>
    <t>StrikerStudySkill</t>
    <phoneticPr fontId="5" type="noConversion"/>
  </si>
  <si>
    <t>SuppoterStudySkill</t>
    <phoneticPr fontId="5" type="noConversion"/>
  </si>
  <si>
    <t>FighterStudySkill</t>
    <phoneticPr fontId="5" type="noConversion"/>
  </si>
  <si>
    <t>D</t>
    <phoneticPr fontId="5" type="noConversion"/>
  </si>
  <si>
    <t>C</t>
    <phoneticPr fontId="5" type="noConversion"/>
  </si>
  <si>
    <t>B</t>
    <phoneticPr fontId="5" type="noConversion"/>
  </si>
  <si>
    <t>A</t>
    <phoneticPr fontId="5" type="noConversion"/>
  </si>
  <si>
    <t>S</t>
    <phoneticPr fontId="5" type="noConversion"/>
  </si>
  <si>
    <t>레벨</t>
    <phoneticPr fontId="5" type="noConversion"/>
  </si>
  <si>
    <t>인게임 상 표기</t>
    <phoneticPr fontId="5" type="noConversion"/>
  </si>
  <si>
    <t>유닛당 랭크업
필요 경험치</t>
    <phoneticPr fontId="5" type="noConversion"/>
  </si>
  <si>
    <t xml:space="preserve">최대 I.P 추가 </t>
  </si>
  <si>
    <t>가디언
배우는 스킬</t>
    <phoneticPr fontId="5" type="noConversion"/>
  </si>
  <si>
    <t>블래스터
배우는 스킬</t>
    <phoneticPr fontId="5" type="noConversion"/>
  </si>
  <si>
    <t>스트라이커
배우는 스킬</t>
    <phoneticPr fontId="5" type="noConversion"/>
  </si>
  <si>
    <t>서포터
배우는 스킬</t>
    <phoneticPr fontId="5" type="noConversion"/>
  </si>
  <si>
    <t>파이터
배우는 스킬</t>
    <phoneticPr fontId="5" type="noConversion"/>
  </si>
  <si>
    <t>수정 날짜</t>
    <phoneticPr fontId="5" type="noConversion"/>
  </si>
  <si>
    <t>버전</t>
    <phoneticPr fontId="5" type="noConversion"/>
  </si>
  <si>
    <t>담당자</t>
    <phoneticPr fontId="5" type="noConversion"/>
  </si>
  <si>
    <t>수정 내역</t>
    <phoneticPr fontId="5" type="noConversion"/>
  </si>
  <si>
    <t>비고</t>
    <phoneticPr fontId="5" type="noConversion"/>
  </si>
  <si>
    <t>V1.0</t>
    <phoneticPr fontId="5" type="noConversion"/>
  </si>
  <si>
    <t>강현재</t>
    <phoneticPr fontId="5" type="noConversion"/>
  </si>
  <si>
    <t>《Hero Influence》 전투 밸런스 데이터 테이블</t>
    <phoneticPr fontId="5" type="noConversion"/>
  </si>
  <si>
    <t>프로토타입용 적군 성장 경험치 테이블 추가</t>
    <phoneticPr fontId="4" type="noConversion"/>
  </si>
  <si>
    <t>AddMaxIP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</si>
</sst>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\ \(&quot;턴&quot;\)"/>
    <numFmt numFmtId="177" formatCode="yy\/mm\/dd\ \(aaa\)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3" xfId="0" applyFill="1" applyBorder="1" applyAlignment="1">
      <alignment horizontal="center"/>
    </xf>
    <xf numFmtId="0" fontId="3" fillId="2" borderId="3" xfId="1" applyBorder="1" applyAlignment="1">
      <alignment horizontal="center"/>
    </xf>
    <xf numFmtId="176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2" fillId="0" borderId="0" xfId="2">
      <alignment vertical="center"/>
    </xf>
    <xf numFmtId="0" fontId="6" fillId="0" borderId="0" xfId="2" applyFont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/>
    </xf>
    <xf numFmtId="9" fontId="0" fillId="0" borderId="0" xfId="3" applyFont="1">
      <alignment vertical="center"/>
    </xf>
    <xf numFmtId="0" fontId="2" fillId="0" borderId="0" xfId="2" applyAlignment="1">
      <alignment vertical="center" wrapText="1"/>
    </xf>
    <xf numFmtId="0" fontId="0" fillId="0" borderId="3" xfId="0" applyBorder="1"/>
    <xf numFmtId="0" fontId="2" fillId="0" borderId="3" xfId="2" applyBorder="1">
      <alignment vertical="center"/>
    </xf>
    <xf numFmtId="0" fontId="0" fillId="0" borderId="3" xfId="0" applyBorder="1" applyAlignment="1">
      <alignment horizontal="center"/>
    </xf>
    <xf numFmtId="0" fontId="2" fillId="0" borderId="3" xfId="2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177" fontId="3" fillId="2" borderId="3" xfId="1" applyNumberFormat="1" applyBorder="1" applyAlignment="1">
      <alignment horizontal="center" vertical="center"/>
    </xf>
    <xf numFmtId="0" fontId="3" fillId="2" borderId="3" xfId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0" xfId="2">
      <alignment vertical="center"/>
    </xf>
    <xf numFmtId="0" fontId="1" fillId="0" borderId="0" xfId="2" applyFont="1">
      <alignment vertical="center"/>
    </xf>
  </cellXfs>
  <cellStyles count="4">
    <cellStyle name="백분율 2" xfId="3" xr:uid="{64F2D6C9-6368-4F61-91CC-8C6ECD76B162}"/>
    <cellStyle name="좋음" xfId="1" builtinId="26"/>
    <cellStyle name="표준" xfId="0" builtinId="0"/>
    <cellStyle name="표준 2" xfId="2" xr:uid="{77E2DF42-3D33-4762-B99B-9410A2B2F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448214</xdr:colOff>
      <xdr:row>1</xdr:row>
      <xdr:rowOff>85726</xdr:rowOff>
    </xdr:from>
    <xdr:to>
      <xdr:col>7</xdr:col>
      <xdr:colOff>109537</xdr:colOff>
      <xdr:row>26</xdr:row>
      <xdr:rowOff>2915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FEEBFD1-ABEC-41BB-85B5-452DA4328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14" y="300039"/>
          <a:ext cx="8095711" cy="5275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600489</xdr:colOff>
      <xdr:row>13</xdr:row>
      <xdr:rowOff>24849</xdr:rowOff>
    </xdr:from>
    <xdr:to>
      <xdr:col>10</xdr:col>
      <xdr:colOff>614230</xdr:colOff>
      <xdr:row>30</xdr:row>
      <xdr:rowOff>209257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1417989-4DB1-4E5C-88FC-510D2D43B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7413" y="3466273"/>
          <a:ext cx="5935807" cy="3845321"/>
        </a:xfrm>
        <a:prstGeom prst="rect">
          <a:avLst/>
        </a:prstGeom>
      </xdr:spPr>
    </xdr:pic>
    <xdr:clientData/>
  </xdr:twoCellAnchor>
  <xdr:twoCellAnchor>
    <xdr:from>
      <xdr:col>6</xdr:col>
      <xdr:colOff>542511</xdr:colOff>
      <xdr:row>24</xdr:row>
      <xdr:rowOff>49695</xdr:rowOff>
    </xdr:from>
    <xdr:to>
      <xdr:col>6</xdr:col>
      <xdr:colOff>1134718</xdr:colOff>
      <xdr:row>25</xdr:row>
      <xdr:rowOff>194640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E2AB10D-C98E-4652-9958-A5E902F4BB41}"/>
            </a:ext>
          </a:extLst>
        </xdr:cNvPr>
        <xdr:cNvSpPr/>
      </xdr:nvSpPr>
      <xdr:spPr>
        <a:xfrm>
          <a:off x="7263848" y="5859945"/>
          <a:ext cx="592207" cy="3602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30001</a:t>
          </a:r>
          <a:endParaRPr lang="ko-KR" altLang="en-US" sz="1100"/>
        </a:p>
      </xdr:txBody>
    </xdr:sp>
    <xdr:clientData/>
  </xdr:twoCellAnchor>
  <xdr:twoCellAnchor>
    <xdr:from>
      <xdr:col>6</xdr:col>
      <xdr:colOff>1075911</xdr:colOff>
      <xdr:row>21</xdr:row>
      <xdr:rowOff>177247</xdr:rowOff>
    </xdr:from>
    <xdr:to>
      <xdr:col>7</xdr:col>
      <xdr:colOff>483705</xdr:colOff>
      <xdr:row>23</xdr:row>
      <xdr:rowOff>106844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681BEBD-EA9B-410C-9E31-5D7793D0952A}"/>
            </a:ext>
          </a:extLst>
        </xdr:cNvPr>
        <xdr:cNvSpPr/>
      </xdr:nvSpPr>
      <xdr:spPr>
        <a:xfrm>
          <a:off x="7797248" y="5341454"/>
          <a:ext cx="592207" cy="3602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30001</a:t>
          </a:r>
          <a:endParaRPr lang="ko-KR" altLang="en-US" sz="1100"/>
        </a:p>
      </xdr:txBody>
    </xdr:sp>
    <xdr:clientData/>
  </xdr:twoCellAnchor>
  <xdr:twoCellAnchor>
    <xdr:from>
      <xdr:col>6</xdr:col>
      <xdr:colOff>565702</xdr:colOff>
      <xdr:row>26</xdr:row>
      <xdr:rowOff>192984</xdr:rowOff>
    </xdr:from>
    <xdr:to>
      <xdr:col>6</xdr:col>
      <xdr:colOff>1157909</xdr:colOff>
      <xdr:row>28</xdr:row>
      <xdr:rowOff>122581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3E11F01-D9FD-498E-810C-DEE7EEEA4126}"/>
            </a:ext>
          </a:extLst>
        </xdr:cNvPr>
        <xdr:cNvSpPr/>
      </xdr:nvSpPr>
      <xdr:spPr>
        <a:xfrm>
          <a:off x="7287039" y="6433930"/>
          <a:ext cx="592207" cy="3602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30001</a:t>
          </a:r>
          <a:endParaRPr lang="ko-KR" altLang="en-US" sz="1100"/>
        </a:p>
      </xdr:txBody>
    </xdr:sp>
    <xdr:clientData/>
  </xdr:twoCellAnchor>
  <xdr:twoCellAnchor>
    <xdr:from>
      <xdr:col>8</xdr:col>
      <xdr:colOff>38928</xdr:colOff>
      <xdr:row>19</xdr:row>
      <xdr:rowOff>34786</xdr:rowOff>
    </xdr:from>
    <xdr:to>
      <xdr:col>8</xdr:col>
      <xdr:colOff>631135</xdr:colOff>
      <xdr:row>20</xdr:row>
      <xdr:rowOff>179731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5FBDE13E-099A-4E38-9236-876CF7656954}"/>
            </a:ext>
          </a:extLst>
        </xdr:cNvPr>
        <xdr:cNvSpPr/>
      </xdr:nvSpPr>
      <xdr:spPr>
        <a:xfrm>
          <a:off x="9129091" y="4768297"/>
          <a:ext cx="592207" cy="360293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30002</a:t>
          </a:r>
          <a:endParaRPr lang="ko-KR" altLang="en-US" sz="1100"/>
        </a:p>
      </xdr:txBody>
    </xdr:sp>
    <xdr:clientData/>
  </xdr:twoCellAnchor>
  <xdr:twoCellAnchor>
    <xdr:from>
      <xdr:col>8</xdr:col>
      <xdr:colOff>71230</xdr:colOff>
      <xdr:row>21</xdr:row>
      <xdr:rowOff>162338</xdr:rowOff>
    </xdr:from>
    <xdr:to>
      <xdr:col>8</xdr:col>
      <xdr:colOff>663437</xdr:colOff>
      <xdr:row>23</xdr:row>
      <xdr:rowOff>91935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A645471C-1585-447B-9A72-079CA8F77407}"/>
            </a:ext>
          </a:extLst>
        </xdr:cNvPr>
        <xdr:cNvSpPr/>
      </xdr:nvSpPr>
      <xdr:spPr>
        <a:xfrm>
          <a:off x="9161393" y="5326545"/>
          <a:ext cx="592207" cy="360293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30002</a:t>
          </a:r>
          <a:endParaRPr lang="ko-KR" altLang="en-US" sz="1100"/>
        </a:p>
      </xdr:txBody>
    </xdr:sp>
    <xdr:clientData/>
  </xdr:twoCellAnchor>
  <xdr:twoCellAnchor>
    <xdr:from>
      <xdr:col>7</xdr:col>
      <xdr:colOff>414130</xdr:colOff>
      <xdr:row>24</xdr:row>
      <xdr:rowOff>82826</xdr:rowOff>
    </xdr:from>
    <xdr:to>
      <xdr:col>7</xdr:col>
      <xdr:colOff>1006337</xdr:colOff>
      <xdr:row>26</xdr:row>
      <xdr:rowOff>12423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89AE532-3EFD-46EC-838E-973D2264E231}"/>
            </a:ext>
          </a:extLst>
        </xdr:cNvPr>
        <xdr:cNvSpPr/>
      </xdr:nvSpPr>
      <xdr:spPr>
        <a:xfrm>
          <a:off x="8319880" y="5893076"/>
          <a:ext cx="592207" cy="360293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30002</a:t>
          </a:r>
          <a:endParaRPr lang="ko-KR" altLang="en-US" sz="1100"/>
        </a:p>
      </xdr:txBody>
    </xdr:sp>
    <xdr:clientData/>
  </xdr:twoCellAnchor>
  <xdr:twoCellAnchor>
    <xdr:from>
      <xdr:col>7</xdr:col>
      <xdr:colOff>434008</xdr:colOff>
      <xdr:row>26</xdr:row>
      <xdr:rowOff>139975</xdr:rowOff>
    </xdr:from>
    <xdr:to>
      <xdr:col>7</xdr:col>
      <xdr:colOff>1026215</xdr:colOff>
      <xdr:row>28</xdr:row>
      <xdr:rowOff>69572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3569557-2D24-4927-9CF2-04D5FB80935D}"/>
            </a:ext>
          </a:extLst>
        </xdr:cNvPr>
        <xdr:cNvSpPr/>
      </xdr:nvSpPr>
      <xdr:spPr>
        <a:xfrm>
          <a:off x="8339758" y="6380921"/>
          <a:ext cx="592207" cy="360293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30002</a:t>
          </a:r>
          <a:endParaRPr lang="ko-KR" altLang="en-US" sz="1100"/>
        </a:p>
      </xdr:txBody>
    </xdr:sp>
    <xdr:clientData/>
  </xdr:twoCellAnchor>
  <xdr:twoCellAnchor>
    <xdr:from>
      <xdr:col>8</xdr:col>
      <xdr:colOff>45554</xdr:colOff>
      <xdr:row>24</xdr:row>
      <xdr:rowOff>178076</xdr:rowOff>
    </xdr:from>
    <xdr:to>
      <xdr:col>8</xdr:col>
      <xdr:colOff>637761</xdr:colOff>
      <xdr:row>26</xdr:row>
      <xdr:rowOff>202923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1C4B776D-930D-4F35-853E-E1250A22396D}"/>
            </a:ext>
          </a:extLst>
        </xdr:cNvPr>
        <xdr:cNvSpPr/>
      </xdr:nvSpPr>
      <xdr:spPr>
        <a:xfrm>
          <a:off x="9135717" y="5988326"/>
          <a:ext cx="592207" cy="45554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거점 보스</a:t>
          </a:r>
          <a:endParaRPr lang="en-US" altLang="ko-KR" sz="500"/>
        </a:p>
        <a:p>
          <a:pPr algn="ctr"/>
          <a:r>
            <a:rPr lang="en-US" altLang="ko-KR" sz="1100"/>
            <a:t>30003</a:t>
          </a:r>
          <a:endParaRPr lang="ko-KR" altLang="en-US" sz="1100"/>
        </a:p>
      </xdr:txBody>
    </xdr:sp>
    <xdr:clientData/>
  </xdr:twoCellAnchor>
  <xdr:twoCellAnchor>
    <xdr:from>
      <xdr:col>8</xdr:col>
      <xdr:colOff>761171</xdr:colOff>
      <xdr:row>25</xdr:row>
      <xdr:rowOff>173107</xdr:rowOff>
    </xdr:from>
    <xdr:to>
      <xdr:col>9</xdr:col>
      <xdr:colOff>168964</xdr:colOff>
      <xdr:row>27</xdr:row>
      <xdr:rowOff>102704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F3BE2463-29C2-42DB-A388-5F0A2D5D846F}"/>
            </a:ext>
          </a:extLst>
        </xdr:cNvPr>
        <xdr:cNvSpPr/>
      </xdr:nvSpPr>
      <xdr:spPr>
        <a:xfrm>
          <a:off x="9851334" y="6198705"/>
          <a:ext cx="592207" cy="36029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30003</a:t>
          </a:r>
          <a:endParaRPr lang="ko-KR" altLang="en-US" sz="1100"/>
        </a:p>
      </xdr:txBody>
    </xdr:sp>
    <xdr:clientData/>
  </xdr:twoCellAnchor>
  <xdr:twoCellAnchor>
    <xdr:from>
      <xdr:col>8</xdr:col>
      <xdr:colOff>689941</xdr:colOff>
      <xdr:row>20</xdr:row>
      <xdr:rowOff>43898</xdr:rowOff>
    </xdr:from>
    <xdr:to>
      <xdr:col>9</xdr:col>
      <xdr:colOff>97734</xdr:colOff>
      <xdr:row>21</xdr:row>
      <xdr:rowOff>188843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4336D14D-E70F-4408-9A78-C941161251BA}"/>
            </a:ext>
          </a:extLst>
        </xdr:cNvPr>
        <xdr:cNvSpPr/>
      </xdr:nvSpPr>
      <xdr:spPr>
        <a:xfrm>
          <a:off x="9780104" y="4992757"/>
          <a:ext cx="592207" cy="36029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30003</a:t>
          </a:r>
          <a:endParaRPr lang="ko-KR" altLang="en-US" sz="1100"/>
        </a:p>
      </xdr:txBody>
    </xdr:sp>
    <xdr:clientData/>
  </xdr:twoCellAnchor>
  <xdr:twoCellAnchor>
    <xdr:from>
      <xdr:col>8</xdr:col>
      <xdr:colOff>1036982</xdr:colOff>
      <xdr:row>23</xdr:row>
      <xdr:rowOff>59634</xdr:rowOff>
    </xdr:from>
    <xdr:to>
      <xdr:col>9</xdr:col>
      <xdr:colOff>444775</xdr:colOff>
      <xdr:row>24</xdr:row>
      <xdr:rowOff>204580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E85EBB5F-DEB6-4DE4-9F3E-AF1BF2DF0626}"/>
            </a:ext>
          </a:extLst>
        </xdr:cNvPr>
        <xdr:cNvSpPr/>
      </xdr:nvSpPr>
      <xdr:spPr>
        <a:xfrm>
          <a:off x="10127145" y="5654537"/>
          <a:ext cx="592207" cy="360293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30004</a:t>
          </a:r>
          <a:endParaRPr lang="ko-KR" altLang="en-US" sz="1100"/>
        </a:p>
      </xdr:txBody>
    </xdr:sp>
    <xdr:clientData/>
  </xdr:twoCellAnchor>
  <xdr:twoCellAnchor>
    <xdr:from>
      <xdr:col>9</xdr:col>
      <xdr:colOff>439804</xdr:colOff>
      <xdr:row>23</xdr:row>
      <xdr:rowOff>62947</xdr:rowOff>
    </xdr:from>
    <xdr:to>
      <xdr:col>9</xdr:col>
      <xdr:colOff>1032011</xdr:colOff>
      <xdr:row>24</xdr:row>
      <xdr:rowOff>207893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894E8755-94A0-4F6B-A227-C8249DDF2250}"/>
            </a:ext>
          </a:extLst>
        </xdr:cNvPr>
        <xdr:cNvSpPr/>
      </xdr:nvSpPr>
      <xdr:spPr>
        <a:xfrm>
          <a:off x="10714381" y="5657850"/>
          <a:ext cx="592207" cy="360293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30004</a:t>
          </a:r>
          <a:endParaRPr lang="ko-KR" altLang="en-US" sz="1100"/>
        </a:p>
      </xdr:txBody>
    </xdr:sp>
    <xdr:clientData/>
  </xdr:twoCellAnchor>
  <xdr:twoCellAnchor>
    <xdr:from>
      <xdr:col>9</xdr:col>
      <xdr:colOff>1035325</xdr:colOff>
      <xdr:row>23</xdr:row>
      <xdr:rowOff>57978</xdr:rowOff>
    </xdr:from>
    <xdr:to>
      <xdr:col>10</xdr:col>
      <xdr:colOff>443119</xdr:colOff>
      <xdr:row>24</xdr:row>
      <xdr:rowOff>202924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4FDDAC4D-760E-4938-8710-AE9B6AE99520}"/>
            </a:ext>
          </a:extLst>
        </xdr:cNvPr>
        <xdr:cNvSpPr/>
      </xdr:nvSpPr>
      <xdr:spPr>
        <a:xfrm>
          <a:off x="11309902" y="5652881"/>
          <a:ext cx="592207" cy="360293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30004</a:t>
          </a:r>
          <a:endParaRPr lang="ko-KR" altLang="en-US" sz="1100"/>
        </a:p>
      </xdr:txBody>
    </xdr:sp>
    <xdr:clientData/>
  </xdr:twoCellAnchor>
  <xdr:twoCellAnchor>
    <xdr:from>
      <xdr:col>9</xdr:col>
      <xdr:colOff>363606</xdr:colOff>
      <xdr:row>20</xdr:row>
      <xdr:rowOff>7455</xdr:rowOff>
    </xdr:from>
    <xdr:to>
      <xdr:col>9</xdr:col>
      <xdr:colOff>955813</xdr:colOff>
      <xdr:row>21</xdr:row>
      <xdr:rowOff>207065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BEC2B839-6A67-45E8-9385-433938EE2E32}"/>
            </a:ext>
          </a:extLst>
        </xdr:cNvPr>
        <xdr:cNvSpPr/>
      </xdr:nvSpPr>
      <xdr:spPr>
        <a:xfrm>
          <a:off x="10638183" y="4956314"/>
          <a:ext cx="592207" cy="414958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보스</a:t>
          </a:r>
          <a:endParaRPr lang="en-US" altLang="ko-KR" sz="500"/>
        </a:p>
        <a:p>
          <a:pPr algn="ctr"/>
          <a:r>
            <a:rPr lang="en-US" altLang="ko-KR" sz="1100"/>
            <a:t>30005</a:t>
          </a:r>
          <a:endParaRPr lang="ko-KR" altLang="en-US" sz="1100"/>
        </a:p>
      </xdr:txBody>
    </xdr:sp>
    <xdr:clientData/>
  </xdr:twoCellAnchor>
  <xdr:twoCellAnchor>
    <xdr:from>
      <xdr:col>9</xdr:col>
      <xdr:colOff>435665</xdr:colOff>
      <xdr:row>15</xdr:row>
      <xdr:rowOff>207066</xdr:rowOff>
    </xdr:from>
    <xdr:to>
      <xdr:col>9</xdr:col>
      <xdr:colOff>1027872</xdr:colOff>
      <xdr:row>18</xdr:row>
      <xdr:rowOff>62947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7C15DE2-36DE-4DAC-BC62-68F3BABFDF71}"/>
            </a:ext>
          </a:extLst>
        </xdr:cNvPr>
        <xdr:cNvSpPr/>
      </xdr:nvSpPr>
      <xdr:spPr>
        <a:xfrm>
          <a:off x="10710242" y="4079186"/>
          <a:ext cx="592207" cy="501924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움직이는 적</a:t>
          </a:r>
          <a:endParaRPr lang="en-US" altLang="ko-KR" sz="500"/>
        </a:p>
        <a:p>
          <a:pPr algn="ctr"/>
          <a:r>
            <a:rPr lang="en-US" altLang="ko-KR" sz="1100"/>
            <a:t>30002</a:t>
          </a:r>
          <a:endParaRPr lang="ko-KR" altLang="en-US" sz="1100"/>
        </a:p>
      </xdr:txBody>
    </xdr:sp>
    <xdr:clientData/>
  </xdr:twoCellAnchor>
  <xdr:twoCellAnchor>
    <xdr:from>
      <xdr:col>2</xdr:col>
      <xdr:colOff>371061</xdr:colOff>
      <xdr:row>19</xdr:row>
      <xdr:rowOff>201267</xdr:rowOff>
    </xdr:from>
    <xdr:to>
      <xdr:col>2</xdr:col>
      <xdr:colOff>963268</xdr:colOff>
      <xdr:row>21</xdr:row>
      <xdr:rowOff>130864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BB1A469-0721-459F-8AF9-DDCE13F78998}"/>
            </a:ext>
          </a:extLst>
        </xdr:cNvPr>
        <xdr:cNvSpPr/>
      </xdr:nvSpPr>
      <xdr:spPr>
        <a:xfrm>
          <a:off x="2354746" y="4934778"/>
          <a:ext cx="592207" cy="3602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30001</a:t>
          </a:r>
          <a:endParaRPr lang="ko-KR" altLang="en-US" sz="1100"/>
        </a:p>
      </xdr:txBody>
    </xdr:sp>
    <xdr:clientData/>
  </xdr:twoCellAnchor>
  <xdr:twoCellAnchor>
    <xdr:from>
      <xdr:col>2</xdr:col>
      <xdr:colOff>338758</xdr:colOff>
      <xdr:row>23</xdr:row>
      <xdr:rowOff>197954</xdr:rowOff>
    </xdr:from>
    <xdr:to>
      <xdr:col>2</xdr:col>
      <xdr:colOff>930965</xdr:colOff>
      <xdr:row>25</xdr:row>
      <xdr:rowOff>127552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D28714E1-7099-4094-B1C8-779B301E0CDD}"/>
            </a:ext>
          </a:extLst>
        </xdr:cNvPr>
        <xdr:cNvSpPr/>
      </xdr:nvSpPr>
      <xdr:spPr>
        <a:xfrm>
          <a:off x="2322443" y="5792857"/>
          <a:ext cx="592207" cy="360293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30002</a:t>
          </a:r>
          <a:endParaRPr lang="ko-KR" altLang="en-US" sz="1100"/>
        </a:p>
      </xdr:txBody>
    </xdr:sp>
    <xdr:clientData/>
  </xdr:twoCellAnchor>
  <xdr:twoCellAnchor>
    <xdr:from>
      <xdr:col>2</xdr:col>
      <xdr:colOff>354495</xdr:colOff>
      <xdr:row>27</xdr:row>
      <xdr:rowOff>192985</xdr:rowOff>
    </xdr:from>
    <xdr:to>
      <xdr:col>2</xdr:col>
      <xdr:colOff>946702</xdr:colOff>
      <xdr:row>29</xdr:row>
      <xdr:rowOff>122582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78DEFB58-FA8E-4C8F-AD23-917EE97745A4}"/>
            </a:ext>
          </a:extLst>
        </xdr:cNvPr>
        <xdr:cNvSpPr/>
      </xdr:nvSpPr>
      <xdr:spPr>
        <a:xfrm>
          <a:off x="2338180" y="6649279"/>
          <a:ext cx="592207" cy="36029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30003</a:t>
          </a:r>
          <a:endParaRPr lang="ko-KR" altLang="en-US" sz="1100"/>
        </a:p>
      </xdr:txBody>
    </xdr:sp>
    <xdr:clientData/>
  </xdr:twoCellAnchor>
  <xdr:twoCellAnchor>
    <xdr:from>
      <xdr:col>2</xdr:col>
      <xdr:colOff>339585</xdr:colOff>
      <xdr:row>32</xdr:row>
      <xdr:rowOff>16565</xdr:rowOff>
    </xdr:from>
    <xdr:to>
      <xdr:col>2</xdr:col>
      <xdr:colOff>931792</xdr:colOff>
      <xdr:row>33</xdr:row>
      <xdr:rowOff>161510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5308D59E-3624-4EBD-BC2C-9F7CBE7C983E}"/>
            </a:ext>
          </a:extLst>
        </xdr:cNvPr>
        <xdr:cNvSpPr/>
      </xdr:nvSpPr>
      <xdr:spPr>
        <a:xfrm>
          <a:off x="2323270" y="7549598"/>
          <a:ext cx="592207" cy="360293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30004</a:t>
          </a:r>
          <a:endParaRPr lang="ko-KR" altLang="en-US" sz="1100"/>
        </a:p>
      </xdr:txBody>
    </xdr:sp>
    <xdr:clientData/>
  </xdr:twoCellAnchor>
  <xdr:twoCellAnchor>
    <xdr:from>
      <xdr:col>2</xdr:col>
      <xdr:colOff>342073</xdr:colOff>
      <xdr:row>36</xdr:row>
      <xdr:rowOff>106018</xdr:rowOff>
    </xdr:from>
    <xdr:to>
      <xdr:col>2</xdr:col>
      <xdr:colOff>934280</xdr:colOff>
      <xdr:row>38</xdr:row>
      <xdr:rowOff>90280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AC878AFD-A174-43F3-ABE9-5ABCAEEB3DFC}"/>
            </a:ext>
          </a:extLst>
        </xdr:cNvPr>
        <xdr:cNvSpPr/>
      </xdr:nvSpPr>
      <xdr:spPr>
        <a:xfrm>
          <a:off x="2325758" y="8500442"/>
          <a:ext cx="592207" cy="414958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보스</a:t>
          </a:r>
          <a:endParaRPr lang="en-US" altLang="ko-KR" sz="500"/>
        </a:p>
        <a:p>
          <a:pPr algn="ctr"/>
          <a:r>
            <a:rPr lang="en-US" altLang="ko-KR" sz="1100"/>
            <a:t>30005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FCF7-942B-4B24-956A-505921DAE941}">
  <dimension ref="A2:F5"/>
  <sheetViews>
    <sheetView workbookViewId="0"/>
  </sheetViews>
  <sheetFormatPr defaultColWidth="9" defaultRowHeight="17" x14ac:dyDescent="0.45"/>
  <cols>
    <col min="1" max="1" width="9" style="1"/>
    <col min="2" max="2" width="12.08203125" style="1" bestFit="1" customWidth="1"/>
    <col min="3" max="4" width="9" style="1"/>
    <col min="5" max="5" width="46.33203125" style="1" customWidth="1"/>
    <col min="6" max="16384" width="9" style="1"/>
  </cols>
  <sheetData>
    <row r="2" spans="1:6" ht="36" x14ac:dyDescent="0.45">
      <c r="A2" s="18" t="s">
        <v>181</v>
      </c>
      <c r="B2" s="18"/>
      <c r="C2" s="2"/>
      <c r="D2" s="2"/>
      <c r="E2" s="2"/>
      <c r="F2" s="2"/>
    </row>
    <row r="3" spans="1:6" x14ac:dyDescent="0.45">
      <c r="A3" s="2"/>
      <c r="B3" s="2"/>
      <c r="C3" s="2"/>
      <c r="D3" s="2"/>
      <c r="E3" s="2"/>
      <c r="F3" s="2"/>
    </row>
    <row r="4" spans="1:6" x14ac:dyDescent="0.45">
      <c r="A4" s="2"/>
      <c r="B4" s="19" t="s">
        <v>174</v>
      </c>
      <c r="C4" s="19" t="s">
        <v>175</v>
      </c>
      <c r="D4" s="20" t="s">
        <v>176</v>
      </c>
      <c r="E4" s="20" t="s">
        <v>177</v>
      </c>
      <c r="F4" s="19" t="s">
        <v>178</v>
      </c>
    </row>
    <row r="5" spans="1:6" x14ac:dyDescent="0.45">
      <c r="A5" s="2"/>
      <c r="B5" s="21">
        <v>46182</v>
      </c>
      <c r="C5" s="21" t="s">
        <v>179</v>
      </c>
      <c r="D5" s="17" t="s">
        <v>180</v>
      </c>
      <c r="E5" s="22" t="s">
        <v>182</v>
      </c>
      <c r="F5" s="2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7:L32"/>
  <sheetViews>
    <sheetView zoomScaleNormal="100" workbookViewId="0"/>
  </sheetViews>
  <sheetFormatPr defaultColWidth="9" defaultRowHeight="17" x14ac:dyDescent="0.45"/>
  <cols>
    <col min="1" max="2" width="9" style="1"/>
    <col min="3" max="3" width="27.5" style="1" customWidth="1"/>
    <col min="4" max="4" width="18.83203125" style="1" customWidth="1"/>
    <col min="5" max="5" width="19.83203125" style="1" customWidth="1"/>
    <col min="6" max="6" width="9" style="1"/>
    <col min="7" max="7" width="17.58203125" style="1" customWidth="1"/>
    <col min="8" max="8" width="12.6640625" style="1" bestFit="1" customWidth="1"/>
    <col min="9" max="9" width="13.6640625" style="1" customWidth="1"/>
    <col min="10" max="10" width="14.25" style="1" customWidth="1"/>
    <col min="11" max="12" width="13.6640625" style="1" customWidth="1"/>
    <col min="13" max="16384" width="9" style="1"/>
  </cols>
  <sheetData>
    <row r="27" spans="2:12" x14ac:dyDescent="0.45">
      <c r="B27" s="4"/>
      <c r="C27" s="4" t="s">
        <v>1</v>
      </c>
      <c r="D27" s="4" t="s">
        <v>15</v>
      </c>
      <c r="E27" s="4" t="s">
        <v>6</v>
      </c>
      <c r="F27" s="4" t="s">
        <v>21</v>
      </c>
      <c r="G27" s="4" t="s">
        <v>25</v>
      </c>
      <c r="H27" s="4" t="s">
        <v>23</v>
      </c>
      <c r="I27" s="4" t="s">
        <v>24</v>
      </c>
      <c r="J27" s="4" t="s">
        <v>31</v>
      </c>
      <c r="K27" s="4" t="s">
        <v>146</v>
      </c>
      <c r="L27" s="4" t="s">
        <v>147</v>
      </c>
    </row>
    <row r="28" spans="2:12" x14ac:dyDescent="0.45">
      <c r="B28" s="4" t="s">
        <v>0</v>
      </c>
      <c r="C28" s="3" t="s">
        <v>16</v>
      </c>
      <c r="D28" s="23" t="s">
        <v>14</v>
      </c>
      <c r="E28" s="24"/>
      <c r="F28" s="7">
        <v>2</v>
      </c>
      <c r="G28" s="7" t="s">
        <v>26</v>
      </c>
      <c r="H28" s="5">
        <v>1</v>
      </c>
      <c r="I28" s="5">
        <v>1</v>
      </c>
      <c r="J28" s="7" t="s">
        <v>33</v>
      </c>
      <c r="K28" s="7">
        <v>20</v>
      </c>
      <c r="L28" s="7">
        <f>K28*1/4</f>
        <v>5</v>
      </c>
    </row>
    <row r="29" spans="2:12" x14ac:dyDescent="0.45">
      <c r="B29" s="4" t="s">
        <v>2</v>
      </c>
      <c r="C29" s="6" t="s">
        <v>17</v>
      </c>
      <c r="D29" s="6" t="s">
        <v>13</v>
      </c>
      <c r="E29" s="6" t="s">
        <v>7</v>
      </c>
      <c r="F29" s="6">
        <v>3</v>
      </c>
      <c r="G29" s="6" t="s">
        <v>27</v>
      </c>
      <c r="H29" s="5">
        <v>1</v>
      </c>
      <c r="I29" s="5">
        <v>2</v>
      </c>
      <c r="J29" s="6" t="s">
        <v>34</v>
      </c>
      <c r="K29" s="6">
        <v>30</v>
      </c>
      <c r="L29" s="7">
        <f t="shared" ref="L29:L31" si="0">K29*1/4</f>
        <v>7.5</v>
      </c>
    </row>
    <row r="30" spans="2:12" x14ac:dyDescent="0.45">
      <c r="B30" s="4" t="s">
        <v>3</v>
      </c>
      <c r="C30" s="6" t="s">
        <v>18</v>
      </c>
      <c r="D30" s="6" t="s">
        <v>12</v>
      </c>
      <c r="E30" s="6" t="s">
        <v>8</v>
      </c>
      <c r="F30" s="6">
        <v>3</v>
      </c>
      <c r="G30" s="6" t="s">
        <v>28</v>
      </c>
      <c r="H30" s="5">
        <v>2</v>
      </c>
      <c r="I30" s="5">
        <v>3</v>
      </c>
      <c r="J30" s="6" t="s">
        <v>35</v>
      </c>
      <c r="K30" s="6">
        <v>40</v>
      </c>
      <c r="L30" s="7">
        <f t="shared" si="0"/>
        <v>10</v>
      </c>
    </row>
    <row r="31" spans="2:12" x14ac:dyDescent="0.45">
      <c r="B31" s="4" t="s">
        <v>4</v>
      </c>
      <c r="C31" s="6" t="s">
        <v>19</v>
      </c>
      <c r="D31" s="6" t="s">
        <v>11</v>
      </c>
      <c r="E31" s="6" t="s">
        <v>9</v>
      </c>
      <c r="F31" s="6">
        <v>4</v>
      </c>
      <c r="G31" s="6" t="s">
        <v>29</v>
      </c>
      <c r="H31" s="5">
        <v>2</v>
      </c>
      <c r="I31" s="5">
        <v>3</v>
      </c>
      <c r="J31" s="6" t="s">
        <v>36</v>
      </c>
      <c r="K31" s="6">
        <v>60</v>
      </c>
      <c r="L31" s="7">
        <f t="shared" si="0"/>
        <v>15</v>
      </c>
    </row>
    <row r="32" spans="2:12" x14ac:dyDescent="0.45">
      <c r="B32" s="4" t="s">
        <v>5</v>
      </c>
      <c r="C32" s="6" t="s">
        <v>20</v>
      </c>
      <c r="D32" s="6" t="s">
        <v>10</v>
      </c>
      <c r="E32" s="6" t="s">
        <v>22</v>
      </c>
      <c r="F32" s="6">
        <v>5</v>
      </c>
      <c r="G32" s="6" t="s">
        <v>30</v>
      </c>
      <c r="H32" s="5">
        <v>3</v>
      </c>
      <c r="I32" s="5">
        <v>4</v>
      </c>
      <c r="J32" s="6" t="s">
        <v>32</v>
      </c>
      <c r="K32" s="6" t="s">
        <v>145</v>
      </c>
      <c r="L32" s="6" t="s">
        <v>145</v>
      </c>
    </row>
  </sheetData>
  <mergeCells count="1">
    <mergeCell ref="D28:E28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A347-2F32-4AB6-B772-4294EAEB0033}">
  <dimension ref="A1:L39"/>
  <sheetViews>
    <sheetView zoomScale="115" zoomScaleNormal="115" workbookViewId="0">
      <selection activeCell="D24" sqref="D24"/>
    </sheetView>
  </sheetViews>
  <sheetFormatPr defaultColWidth="9" defaultRowHeight="17" x14ac:dyDescent="0.45"/>
  <cols>
    <col min="1" max="1" width="10.5" style="8" bestFit="1" customWidth="1"/>
    <col min="2" max="36" width="15.58203125" style="8" customWidth="1"/>
    <col min="37" max="16384" width="9" style="8"/>
  </cols>
  <sheetData>
    <row r="1" spans="1:12" x14ac:dyDescent="0.45">
      <c r="A1" s="8" t="s">
        <v>37</v>
      </c>
    </row>
    <row r="2" spans="1:12" x14ac:dyDescent="0.45">
      <c r="B2" s="25" t="s">
        <v>144</v>
      </c>
      <c r="C2" s="25"/>
    </row>
    <row r="4" spans="1:12" x14ac:dyDescent="0.45">
      <c r="A4" s="8" t="s">
        <v>39</v>
      </c>
      <c r="B4" s="8" t="s">
        <v>40</v>
      </c>
      <c r="C4" s="8" t="s">
        <v>40</v>
      </c>
      <c r="D4" s="8" t="s">
        <v>40</v>
      </c>
      <c r="E4" s="8" t="s">
        <v>40</v>
      </c>
      <c r="F4" s="8" t="s">
        <v>40</v>
      </c>
      <c r="G4" s="8" t="s">
        <v>40</v>
      </c>
      <c r="H4" s="8" t="s">
        <v>40</v>
      </c>
      <c r="I4" s="8" t="s">
        <v>40</v>
      </c>
      <c r="J4" s="8" t="s">
        <v>40</v>
      </c>
      <c r="K4" s="8" t="s">
        <v>40</v>
      </c>
      <c r="L4" s="8" t="s">
        <v>40</v>
      </c>
    </row>
    <row r="5" spans="1:12" x14ac:dyDescent="0.45">
      <c r="A5" s="8" t="s">
        <v>44</v>
      </c>
      <c r="B5" s="8" t="s">
        <v>45</v>
      </c>
      <c r="C5" s="8" t="s">
        <v>132</v>
      </c>
      <c r="D5" s="8" t="s">
        <v>137</v>
      </c>
      <c r="E5" s="8" t="s">
        <v>133</v>
      </c>
      <c r="F5" s="8" t="s">
        <v>138</v>
      </c>
      <c r="G5" s="8" t="s">
        <v>134</v>
      </c>
      <c r="H5" s="8" t="s">
        <v>139</v>
      </c>
      <c r="I5" s="8" t="s">
        <v>135</v>
      </c>
      <c r="J5" s="8" t="s">
        <v>140</v>
      </c>
      <c r="K5" s="8" t="s">
        <v>136</v>
      </c>
      <c r="L5" s="8" t="s">
        <v>141</v>
      </c>
    </row>
    <row r="6" spans="1:12" x14ac:dyDescent="0.45">
      <c r="A6" s="8" t="s">
        <v>77</v>
      </c>
      <c r="B6" s="8">
        <v>30001</v>
      </c>
      <c r="C6" s="8">
        <v>20001</v>
      </c>
      <c r="D6" s="8">
        <v>1</v>
      </c>
      <c r="E6" s="8">
        <v>20001</v>
      </c>
      <c r="F6" s="8">
        <v>3</v>
      </c>
    </row>
    <row r="7" spans="1:12" x14ac:dyDescent="0.45">
      <c r="B7" s="8">
        <v>30002</v>
      </c>
      <c r="C7" s="8">
        <v>20001</v>
      </c>
      <c r="D7" s="8">
        <v>1</v>
      </c>
      <c r="E7" s="8">
        <v>20001</v>
      </c>
      <c r="F7" s="8">
        <v>4</v>
      </c>
      <c r="G7" s="8">
        <v>20001</v>
      </c>
      <c r="H7" s="8">
        <v>6</v>
      </c>
    </row>
    <row r="8" spans="1:12" x14ac:dyDescent="0.45">
      <c r="B8" s="8">
        <v>30003</v>
      </c>
      <c r="C8" s="8">
        <v>20001</v>
      </c>
      <c r="D8" s="8">
        <v>1</v>
      </c>
      <c r="E8" s="8">
        <v>20001</v>
      </c>
      <c r="F8" s="8">
        <v>3</v>
      </c>
      <c r="G8" s="8">
        <v>20002</v>
      </c>
      <c r="H8" s="8">
        <v>5</v>
      </c>
    </row>
    <row r="9" spans="1:12" x14ac:dyDescent="0.45">
      <c r="B9" s="8">
        <v>30004</v>
      </c>
      <c r="C9" s="8">
        <v>20001</v>
      </c>
      <c r="D9" s="8">
        <v>1</v>
      </c>
      <c r="E9" s="8">
        <v>20001</v>
      </c>
      <c r="F9" s="8">
        <v>3</v>
      </c>
      <c r="G9" s="8">
        <v>20002</v>
      </c>
      <c r="H9" s="8">
        <v>4</v>
      </c>
      <c r="I9" s="8">
        <v>20002</v>
      </c>
      <c r="J9" s="8">
        <v>6</v>
      </c>
    </row>
    <row r="10" spans="1:12" x14ac:dyDescent="0.45">
      <c r="B10" s="8">
        <v>30005</v>
      </c>
      <c r="C10" s="8">
        <v>20001</v>
      </c>
      <c r="D10" s="8">
        <v>1</v>
      </c>
      <c r="E10" s="8">
        <v>20001</v>
      </c>
      <c r="F10" s="8">
        <v>3</v>
      </c>
      <c r="G10" s="8">
        <v>20002</v>
      </c>
      <c r="H10" s="8">
        <v>4</v>
      </c>
      <c r="I10" s="8">
        <v>20002</v>
      </c>
      <c r="J10" s="8">
        <v>6</v>
      </c>
      <c r="K10" s="8">
        <v>20003</v>
      </c>
      <c r="L10" s="8">
        <v>5</v>
      </c>
    </row>
    <row r="13" spans="1:12" ht="68" x14ac:dyDescent="0.45">
      <c r="A13" s="8" t="s">
        <v>99</v>
      </c>
      <c r="B13" s="8" t="s">
        <v>100</v>
      </c>
      <c r="C13" s="12" t="s">
        <v>142</v>
      </c>
      <c r="D13" s="12" t="s">
        <v>143</v>
      </c>
    </row>
    <row r="14" spans="1:12" x14ac:dyDescent="0.45">
      <c r="A14" s="8" t="s">
        <v>37</v>
      </c>
    </row>
    <row r="15" spans="1:12" x14ac:dyDescent="0.45">
      <c r="C15" t="s">
        <v>26</v>
      </c>
      <c r="D15" s="13">
        <v>1</v>
      </c>
      <c r="E15" s="14">
        <v>4</v>
      </c>
    </row>
    <row r="16" spans="1:12" x14ac:dyDescent="0.45">
      <c r="C16" t="s">
        <v>27</v>
      </c>
      <c r="D16" s="13">
        <v>2</v>
      </c>
      <c r="E16" s="14">
        <v>5</v>
      </c>
    </row>
    <row r="17" spans="3:5" x14ac:dyDescent="0.45">
      <c r="C17" t="s">
        <v>28</v>
      </c>
      <c r="D17" s="13">
        <v>3</v>
      </c>
      <c r="E17" s="14">
        <v>6</v>
      </c>
    </row>
    <row r="18" spans="3:5" x14ac:dyDescent="0.45">
      <c r="C18" t="s">
        <v>29</v>
      </c>
      <c r="D18"/>
    </row>
    <row r="19" spans="3:5" x14ac:dyDescent="0.45">
      <c r="C19" t="s">
        <v>30</v>
      </c>
      <c r="D19"/>
    </row>
    <row r="21" spans="3:5" x14ac:dyDescent="0.45">
      <c r="D21" s="15" t="s">
        <v>148</v>
      </c>
      <c r="E21" s="16"/>
    </row>
    <row r="22" spans="3:5" x14ac:dyDescent="0.45">
      <c r="D22" s="15"/>
      <c r="E22" s="16"/>
    </row>
    <row r="23" spans="3:5" x14ac:dyDescent="0.45">
      <c r="D23" s="15" t="s">
        <v>148</v>
      </c>
      <c r="E23" s="16"/>
    </row>
    <row r="25" spans="3:5" x14ac:dyDescent="0.45">
      <c r="D25" s="15"/>
      <c r="E25" s="16" t="s">
        <v>148</v>
      </c>
    </row>
    <row r="26" spans="3:5" x14ac:dyDescent="0.45">
      <c r="D26" s="15" t="s">
        <v>148</v>
      </c>
      <c r="E26" s="16"/>
    </row>
    <row r="27" spans="3:5" x14ac:dyDescent="0.45">
      <c r="D27" s="15"/>
      <c r="E27" s="16" t="s">
        <v>148</v>
      </c>
    </row>
    <row r="29" spans="3:5" x14ac:dyDescent="0.45">
      <c r="D29" s="15" t="s">
        <v>148</v>
      </c>
      <c r="E29" s="16"/>
    </row>
    <row r="30" spans="3:5" x14ac:dyDescent="0.45">
      <c r="D30" s="15"/>
      <c r="E30" s="16" t="s">
        <v>149</v>
      </c>
    </row>
    <row r="31" spans="3:5" x14ac:dyDescent="0.45">
      <c r="D31" s="15" t="s">
        <v>148</v>
      </c>
      <c r="E31" s="16"/>
    </row>
    <row r="33" spans="4:5" x14ac:dyDescent="0.45">
      <c r="D33" s="15" t="s">
        <v>148</v>
      </c>
      <c r="E33" s="16" t="s">
        <v>149</v>
      </c>
    </row>
    <row r="34" spans="4:5" x14ac:dyDescent="0.45">
      <c r="D34" s="15"/>
      <c r="E34" s="16"/>
    </row>
    <row r="35" spans="4:5" x14ac:dyDescent="0.45">
      <c r="D35" s="15" t="s">
        <v>148</v>
      </c>
      <c r="E35" s="16" t="s">
        <v>149</v>
      </c>
    </row>
    <row r="37" spans="4:5" x14ac:dyDescent="0.45">
      <c r="D37" s="15" t="s">
        <v>148</v>
      </c>
      <c r="E37" s="16" t="s">
        <v>149</v>
      </c>
    </row>
    <row r="38" spans="4:5" x14ac:dyDescent="0.45">
      <c r="D38" s="15"/>
      <c r="E38" s="16" t="s">
        <v>150</v>
      </c>
    </row>
    <row r="39" spans="4:5" x14ac:dyDescent="0.45">
      <c r="D39" s="15" t="s">
        <v>148</v>
      </c>
      <c r="E39" s="16" t="s">
        <v>149</v>
      </c>
    </row>
  </sheetData>
  <mergeCells count="1">
    <mergeCell ref="B2:C2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5E8A-793C-49CF-A4BA-CDB35F008A08}">
  <dimension ref="A1:AG11"/>
  <sheetViews>
    <sheetView tabSelected="1" zoomScale="55" zoomScaleNormal="55" workbookViewId="0"/>
  </sheetViews>
  <sheetFormatPr defaultColWidth="9" defaultRowHeight="17" x14ac:dyDescent="0.45"/>
  <cols>
    <col min="1" max="1" width="10.5" style="8" bestFit="1" customWidth="1"/>
    <col min="2" max="3" width="15.58203125" style="8" customWidth="1"/>
    <col min="4" max="4" width="25.4140625" style="8" customWidth="1"/>
    <col min="5" max="5" width="14.08203125" style="8" bestFit="1" customWidth="1"/>
    <col min="6" max="12" width="15.58203125" style="8" customWidth="1"/>
    <col min="13" max="13" width="37.75" style="8" bestFit="1" customWidth="1"/>
    <col min="14" max="14" width="36.33203125" style="8" bestFit="1" customWidth="1"/>
    <col min="15" max="15" width="25" style="8" customWidth="1"/>
    <col min="16" max="16" width="24.58203125" style="8" customWidth="1"/>
    <col min="17" max="17" width="36.33203125" style="8" bestFit="1" customWidth="1"/>
    <col min="18" max="18" width="39.33203125" style="8" bestFit="1" customWidth="1"/>
    <col min="19" max="19" width="61.75" style="8" bestFit="1" customWidth="1"/>
    <col min="20" max="20" width="46.08203125" style="8" bestFit="1" customWidth="1"/>
    <col min="21" max="31" width="15.58203125" style="8" customWidth="1"/>
    <col min="32" max="32" width="70.25" style="8" customWidth="1"/>
    <col min="33" max="62" width="15.58203125" style="8" customWidth="1"/>
    <col min="63" max="16384" width="9" style="8"/>
  </cols>
  <sheetData>
    <row r="1" spans="1:33" x14ac:dyDescent="0.45">
      <c r="A1" s="26" t="s">
        <v>37</v>
      </c>
    </row>
    <row r="2" spans="1:33" x14ac:dyDescent="0.45">
      <c r="B2" s="25" t="s">
        <v>38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4" spans="1:33" x14ac:dyDescent="0.45">
      <c r="A4" s="8" t="s">
        <v>39</v>
      </c>
      <c r="B4" s="8" t="s">
        <v>40</v>
      </c>
      <c r="C4" s="8" t="s">
        <v>41</v>
      </c>
      <c r="D4" s="8" t="s">
        <v>41</v>
      </c>
      <c r="E4" s="8" t="s">
        <v>40</v>
      </c>
      <c r="F4" s="8" t="s">
        <v>40</v>
      </c>
      <c r="G4" s="8" t="s">
        <v>40</v>
      </c>
      <c r="H4" s="8" t="s">
        <v>42</v>
      </c>
      <c r="I4" s="8" t="s">
        <v>42</v>
      </c>
      <c r="J4" s="8" t="s">
        <v>42</v>
      </c>
      <c r="K4" s="8" t="s">
        <v>40</v>
      </c>
      <c r="L4" s="8" t="s">
        <v>41</v>
      </c>
      <c r="M4" s="8" t="s">
        <v>41</v>
      </c>
      <c r="N4" s="9" t="s">
        <v>40</v>
      </c>
      <c r="O4" s="9" t="s">
        <v>40</v>
      </c>
      <c r="P4" s="9" t="s">
        <v>40</v>
      </c>
      <c r="Q4" s="9" t="s">
        <v>40</v>
      </c>
      <c r="R4" s="9" t="s">
        <v>43</v>
      </c>
      <c r="S4" s="9" t="s">
        <v>40</v>
      </c>
      <c r="T4" s="9" t="s">
        <v>40</v>
      </c>
      <c r="U4" s="9" t="s">
        <v>42</v>
      </c>
      <c r="V4" s="8" t="s">
        <v>41</v>
      </c>
      <c r="W4" s="8" t="s">
        <v>41</v>
      </c>
      <c r="X4" s="9" t="s">
        <v>40</v>
      </c>
      <c r="Y4" s="9" t="s">
        <v>40</v>
      </c>
      <c r="Z4" s="9" t="s">
        <v>40</v>
      </c>
      <c r="AA4" s="9" t="s">
        <v>40</v>
      </c>
      <c r="AB4" s="9" t="s">
        <v>43</v>
      </c>
      <c r="AC4" s="9" t="s">
        <v>40</v>
      </c>
      <c r="AD4" s="9" t="s">
        <v>40</v>
      </c>
      <c r="AE4" s="9" t="s">
        <v>42</v>
      </c>
      <c r="AF4" s="10" t="s">
        <v>41</v>
      </c>
      <c r="AG4" s="10" t="s">
        <v>40</v>
      </c>
    </row>
    <row r="5" spans="1:33" x14ac:dyDescent="0.45">
      <c r="A5" s="8" t="s">
        <v>44</v>
      </c>
      <c r="B5" s="8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50</v>
      </c>
      <c r="H5" s="8" t="s">
        <v>51</v>
      </c>
      <c r="I5" s="8" t="s">
        <v>52</v>
      </c>
      <c r="J5" s="8" t="s">
        <v>53</v>
      </c>
      <c r="K5" s="8" t="s">
        <v>54</v>
      </c>
      <c r="L5" s="8" t="s">
        <v>55</v>
      </c>
      <c r="M5" s="8" t="s">
        <v>56</v>
      </c>
      <c r="N5" s="8" t="s">
        <v>57</v>
      </c>
      <c r="O5" s="8" t="s">
        <v>58</v>
      </c>
      <c r="P5" s="8" t="s">
        <v>59</v>
      </c>
      <c r="Q5" s="8" t="s">
        <v>60</v>
      </c>
      <c r="R5" s="8" t="s">
        <v>61</v>
      </c>
      <c r="S5" s="8" t="s">
        <v>62</v>
      </c>
      <c r="T5" s="8" t="s">
        <v>63</v>
      </c>
      <c r="U5" s="8" t="s">
        <v>64</v>
      </c>
      <c r="V5" s="8" t="s">
        <v>65</v>
      </c>
      <c r="W5" s="8" t="s">
        <v>66</v>
      </c>
      <c r="X5" s="8" t="s">
        <v>67</v>
      </c>
      <c r="Y5" s="8" t="s">
        <v>68</v>
      </c>
      <c r="Z5" s="8" t="s">
        <v>69</v>
      </c>
      <c r="AA5" s="8" t="s">
        <v>70</v>
      </c>
      <c r="AB5" s="8" t="s">
        <v>71</v>
      </c>
      <c r="AC5" s="8" t="s">
        <v>72</v>
      </c>
      <c r="AD5" s="8" t="s">
        <v>73</v>
      </c>
      <c r="AE5" s="8" t="s">
        <v>74</v>
      </c>
      <c r="AF5" s="8" t="s">
        <v>75</v>
      </c>
      <c r="AG5" s="8" t="s">
        <v>76</v>
      </c>
    </row>
    <row r="6" spans="1:33" x14ac:dyDescent="0.45">
      <c r="A6" s="8" t="s">
        <v>77</v>
      </c>
      <c r="B6" s="8">
        <v>20001</v>
      </c>
      <c r="C6" s="8" t="s">
        <v>78</v>
      </c>
      <c r="D6" s="8" t="s">
        <v>79</v>
      </c>
      <c r="E6" s="8">
        <v>5</v>
      </c>
      <c r="F6" s="8">
        <v>6</v>
      </c>
      <c r="G6" s="8">
        <v>6</v>
      </c>
      <c r="H6" s="11">
        <v>0.1</v>
      </c>
      <c r="I6" s="11">
        <v>0.1</v>
      </c>
      <c r="J6" s="11">
        <v>0.1</v>
      </c>
      <c r="K6" s="8">
        <v>2</v>
      </c>
      <c r="L6" s="8" t="s">
        <v>80</v>
      </c>
      <c r="M6" s="8" t="s">
        <v>81</v>
      </c>
      <c r="N6" s="8">
        <v>0</v>
      </c>
      <c r="O6" s="8">
        <v>0</v>
      </c>
      <c r="P6" s="8">
        <v>0</v>
      </c>
      <c r="Q6" s="8">
        <v>0</v>
      </c>
      <c r="U6" s="11">
        <v>1</v>
      </c>
      <c r="V6" s="8" t="s">
        <v>82</v>
      </c>
      <c r="W6" s="8" t="s">
        <v>83</v>
      </c>
      <c r="X6" s="8">
        <v>0</v>
      </c>
      <c r="Y6" s="8">
        <v>0</v>
      </c>
      <c r="Z6" s="8">
        <v>0</v>
      </c>
      <c r="AA6" s="8">
        <v>1</v>
      </c>
      <c r="AB6" s="8" t="s">
        <v>84</v>
      </c>
      <c r="AC6" s="8">
        <v>0</v>
      </c>
      <c r="AE6" s="11">
        <v>0.5</v>
      </c>
      <c r="AF6" s="8" t="s">
        <v>85</v>
      </c>
      <c r="AG6" s="8">
        <v>10</v>
      </c>
    </row>
    <row r="7" spans="1:33" x14ac:dyDescent="0.45">
      <c r="B7" s="8">
        <v>20002</v>
      </c>
      <c r="C7" s="8" t="s">
        <v>86</v>
      </c>
      <c r="D7" s="8" t="s">
        <v>87</v>
      </c>
      <c r="E7" s="8">
        <v>8</v>
      </c>
      <c r="F7" s="8">
        <v>12</v>
      </c>
      <c r="G7" s="8">
        <v>8</v>
      </c>
      <c r="H7" s="11">
        <v>0.2</v>
      </c>
      <c r="I7" s="11">
        <v>0.15</v>
      </c>
      <c r="J7" s="11">
        <v>0.15</v>
      </c>
      <c r="K7" s="8">
        <v>3</v>
      </c>
      <c r="L7" s="8" t="s">
        <v>88</v>
      </c>
      <c r="M7" s="8" t="s">
        <v>89</v>
      </c>
      <c r="N7" s="8">
        <v>0</v>
      </c>
      <c r="O7" s="8">
        <v>1</v>
      </c>
      <c r="P7" s="8">
        <v>1</v>
      </c>
      <c r="Q7" s="8">
        <v>0</v>
      </c>
      <c r="U7" s="11">
        <v>1.3</v>
      </c>
      <c r="V7" s="8" t="s">
        <v>90</v>
      </c>
      <c r="W7" s="8" t="s">
        <v>91</v>
      </c>
      <c r="X7" s="8">
        <v>1</v>
      </c>
      <c r="AA7" s="8">
        <v>0</v>
      </c>
      <c r="AE7" s="11">
        <v>50</v>
      </c>
      <c r="AF7" s="8" t="s">
        <v>92</v>
      </c>
      <c r="AG7" s="8">
        <v>20</v>
      </c>
    </row>
    <row r="8" spans="1:33" x14ac:dyDescent="0.45">
      <c r="B8" s="8">
        <v>20003</v>
      </c>
      <c r="C8" s="8" t="s">
        <v>93</v>
      </c>
      <c r="D8" s="8" t="s">
        <v>94</v>
      </c>
      <c r="E8" s="8">
        <v>15</v>
      </c>
      <c r="F8" s="8">
        <v>10</v>
      </c>
      <c r="G8" s="8">
        <v>12</v>
      </c>
      <c r="H8" s="11">
        <v>0.25</v>
      </c>
      <c r="I8" s="11">
        <v>0.2</v>
      </c>
      <c r="J8" s="11">
        <v>0.2</v>
      </c>
      <c r="K8" s="8">
        <v>1</v>
      </c>
      <c r="L8" s="8" t="s">
        <v>95</v>
      </c>
      <c r="M8" s="8" t="s">
        <v>89</v>
      </c>
      <c r="N8" s="8">
        <v>0</v>
      </c>
      <c r="O8" s="8">
        <v>1</v>
      </c>
      <c r="P8" s="8">
        <v>1</v>
      </c>
      <c r="Q8" s="8">
        <v>0</v>
      </c>
      <c r="U8" s="11">
        <v>1</v>
      </c>
      <c r="V8" s="8" t="s">
        <v>96</v>
      </c>
      <c r="W8" s="8" t="s">
        <v>97</v>
      </c>
      <c r="X8" s="8">
        <v>0</v>
      </c>
      <c r="Y8" s="8">
        <v>1</v>
      </c>
      <c r="Z8" s="8">
        <v>1</v>
      </c>
      <c r="AA8" s="8">
        <v>2</v>
      </c>
      <c r="AE8" s="11">
        <v>0.8</v>
      </c>
      <c r="AF8" s="8" t="s">
        <v>98</v>
      </c>
      <c r="AG8" s="8">
        <v>30</v>
      </c>
    </row>
    <row r="10" spans="1:33" x14ac:dyDescent="0.45">
      <c r="A10" s="8" t="s">
        <v>99</v>
      </c>
      <c r="B10" s="8" t="s">
        <v>100</v>
      </c>
      <c r="C10" s="8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  <c r="M10" s="8" t="s">
        <v>111</v>
      </c>
      <c r="N10" s="8" t="s">
        <v>112</v>
      </c>
      <c r="O10" s="8" t="s">
        <v>113</v>
      </c>
      <c r="P10" s="8" t="s">
        <v>114</v>
      </c>
      <c r="Q10" s="8" t="s">
        <v>115</v>
      </c>
      <c r="R10" s="8" t="s">
        <v>116</v>
      </c>
      <c r="S10" s="8" t="s">
        <v>117</v>
      </c>
      <c r="T10" s="8" t="s">
        <v>118</v>
      </c>
      <c r="U10" s="8" t="s">
        <v>119</v>
      </c>
      <c r="V10" s="8" t="s">
        <v>120</v>
      </c>
      <c r="W10" s="8" t="s">
        <v>121</v>
      </c>
      <c r="X10" s="8" t="s">
        <v>122</v>
      </c>
      <c r="Y10" s="8" t="s">
        <v>123</v>
      </c>
      <c r="Z10" s="8" t="s">
        <v>124</v>
      </c>
      <c r="AA10" s="8" t="s">
        <v>125</v>
      </c>
      <c r="AB10" s="8" t="s">
        <v>126</v>
      </c>
      <c r="AC10" s="8" t="s">
        <v>127</v>
      </c>
      <c r="AD10" s="8" t="s">
        <v>128</v>
      </c>
      <c r="AE10" s="8" t="s">
        <v>129</v>
      </c>
      <c r="AF10" s="8" t="s">
        <v>130</v>
      </c>
      <c r="AG10" s="8" t="s">
        <v>131</v>
      </c>
    </row>
    <row r="11" spans="1:33" x14ac:dyDescent="0.45">
      <c r="A11" s="8" t="s">
        <v>37</v>
      </c>
    </row>
  </sheetData>
  <mergeCells count="1">
    <mergeCell ref="B2:P2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31E3-ED72-45FF-87B9-75E12B3BB32F}">
  <dimension ref="A1:P13"/>
  <sheetViews>
    <sheetView zoomScale="115" zoomScaleNormal="115" workbookViewId="0">
      <selection activeCell="C31" sqref="C31"/>
    </sheetView>
  </sheetViews>
  <sheetFormatPr defaultColWidth="9" defaultRowHeight="17" x14ac:dyDescent="0.45"/>
  <cols>
    <col min="1" max="1" width="10.5" style="8" bestFit="1" customWidth="1"/>
    <col min="2" max="3" width="15.58203125" style="8" customWidth="1"/>
    <col min="4" max="4" width="24.08203125" style="8" bestFit="1" customWidth="1"/>
    <col min="5" max="5" width="13" style="8" bestFit="1" customWidth="1"/>
    <col min="6" max="6" width="23.75" style="8" customWidth="1"/>
    <col min="7" max="7" width="19.33203125" style="8" bestFit="1" customWidth="1"/>
    <col min="8" max="12" width="15.58203125" style="8" customWidth="1"/>
    <col min="13" max="13" width="37.75" style="8" bestFit="1" customWidth="1"/>
    <col min="14" max="14" width="56.9140625" style="8" bestFit="1" customWidth="1"/>
    <col min="15" max="15" width="25" style="8" customWidth="1"/>
    <col min="16" max="16" width="24.58203125" style="8" customWidth="1"/>
    <col min="17" max="17" width="24.33203125" style="8" customWidth="1"/>
    <col min="18" max="62" width="15.58203125" style="8" customWidth="1"/>
    <col min="63" max="16384" width="9" style="8"/>
  </cols>
  <sheetData>
    <row r="1" spans="1:16" x14ac:dyDescent="0.45">
      <c r="A1" s="8" t="s">
        <v>37</v>
      </c>
    </row>
    <row r="2" spans="1:16" x14ac:dyDescent="0.45">
      <c r="B2" s="25" t="s">
        <v>151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4" spans="1:16" x14ac:dyDescent="0.45">
      <c r="A4" s="8" t="s">
        <v>39</v>
      </c>
      <c r="B4" s="8" t="s">
        <v>40</v>
      </c>
      <c r="C4" s="8" t="s">
        <v>41</v>
      </c>
      <c r="D4" s="8" t="s">
        <v>40</v>
      </c>
      <c r="E4" s="8" t="s">
        <v>40</v>
      </c>
      <c r="F4" s="8" t="s">
        <v>40</v>
      </c>
      <c r="G4" s="8" t="s">
        <v>40</v>
      </c>
      <c r="H4" s="8" t="s">
        <v>40</v>
      </c>
      <c r="I4" s="8" t="s">
        <v>40</v>
      </c>
      <c r="J4" s="8" t="s">
        <v>40</v>
      </c>
    </row>
    <row r="5" spans="1:16" x14ac:dyDescent="0.45">
      <c r="A5" s="8" t="s">
        <v>44</v>
      </c>
      <c r="B5" s="8" t="s">
        <v>152</v>
      </c>
      <c r="C5" s="8" t="s">
        <v>153</v>
      </c>
      <c r="D5" s="8" t="s">
        <v>154</v>
      </c>
      <c r="E5" s="8" t="s">
        <v>183</v>
      </c>
      <c r="F5" s="8" t="s">
        <v>155</v>
      </c>
      <c r="G5" s="8" t="s">
        <v>156</v>
      </c>
      <c r="H5" s="8" t="s">
        <v>157</v>
      </c>
      <c r="I5" s="8" t="s">
        <v>158</v>
      </c>
      <c r="J5" s="8" t="s">
        <v>159</v>
      </c>
    </row>
    <row r="6" spans="1:16" x14ac:dyDescent="0.45">
      <c r="A6" s="8" t="s">
        <v>77</v>
      </c>
      <c r="B6" s="8">
        <v>1</v>
      </c>
      <c r="C6" s="8" t="s">
        <v>160</v>
      </c>
      <c r="D6" s="8">
        <v>0</v>
      </c>
      <c r="E6" s="8">
        <v>20</v>
      </c>
      <c r="F6" s="8">
        <v>1010</v>
      </c>
      <c r="G6" s="8">
        <v>2010</v>
      </c>
      <c r="H6" s="8">
        <v>3010</v>
      </c>
      <c r="I6" s="8">
        <v>4010</v>
      </c>
      <c r="J6" s="8">
        <v>5010</v>
      </c>
    </row>
    <row r="7" spans="1:16" x14ac:dyDescent="0.45">
      <c r="B7" s="8">
        <v>2</v>
      </c>
      <c r="C7" s="8" t="s">
        <v>161</v>
      </c>
      <c r="D7" s="8">
        <v>5</v>
      </c>
      <c r="E7" s="8">
        <v>20</v>
      </c>
      <c r="F7" s="8">
        <v>1020</v>
      </c>
      <c r="G7" s="8">
        <v>2020</v>
      </c>
      <c r="H7" s="8">
        <v>3020</v>
      </c>
      <c r="I7" s="8">
        <v>4020</v>
      </c>
      <c r="J7" s="8">
        <v>5020</v>
      </c>
    </row>
    <row r="8" spans="1:16" x14ac:dyDescent="0.45">
      <c r="B8" s="8">
        <v>3</v>
      </c>
      <c r="C8" s="8" t="s">
        <v>162</v>
      </c>
      <c r="D8" s="8">
        <v>7</v>
      </c>
      <c r="E8" s="8">
        <v>20</v>
      </c>
      <c r="F8" s="8">
        <v>1030</v>
      </c>
      <c r="G8" s="8">
        <v>2030</v>
      </c>
      <c r="H8" s="8">
        <v>3030</v>
      </c>
      <c r="I8" s="8">
        <v>4030</v>
      </c>
      <c r="J8" s="8">
        <v>5030</v>
      </c>
    </row>
    <row r="9" spans="1:16" x14ac:dyDescent="0.45">
      <c r="B9" s="8">
        <v>4</v>
      </c>
      <c r="C9" s="8" t="s">
        <v>163</v>
      </c>
      <c r="D9" s="8">
        <v>10</v>
      </c>
      <c r="E9" s="8">
        <v>20</v>
      </c>
      <c r="F9" s="8">
        <v>1040</v>
      </c>
      <c r="G9" s="8">
        <v>2040</v>
      </c>
      <c r="H9" s="8">
        <v>3040</v>
      </c>
      <c r="I9" s="8">
        <v>4040</v>
      </c>
      <c r="J9" s="8">
        <v>5040</v>
      </c>
    </row>
    <row r="10" spans="1:16" x14ac:dyDescent="0.45">
      <c r="B10" s="8">
        <v>5</v>
      </c>
      <c r="C10" s="8" t="s">
        <v>164</v>
      </c>
      <c r="D10" s="8">
        <v>15</v>
      </c>
      <c r="E10" s="8">
        <v>20</v>
      </c>
      <c r="F10" s="8">
        <v>1050</v>
      </c>
      <c r="G10" s="8">
        <v>2050</v>
      </c>
      <c r="H10" s="8">
        <v>3050</v>
      </c>
      <c r="I10" s="8">
        <v>4050</v>
      </c>
      <c r="J10" s="8">
        <v>5050</v>
      </c>
    </row>
    <row r="12" spans="1:16" x14ac:dyDescent="0.45">
      <c r="A12" s="8" t="s">
        <v>99</v>
      </c>
    </row>
    <row r="13" spans="1:16" x14ac:dyDescent="0.45">
      <c r="A13" s="8" t="s">
        <v>37</v>
      </c>
      <c r="B13" s="8" t="s">
        <v>165</v>
      </c>
      <c r="C13" s="8" t="s">
        <v>166</v>
      </c>
      <c r="D13" s="8" t="s">
        <v>167</v>
      </c>
      <c r="E13" s="8" t="s">
        <v>168</v>
      </c>
      <c r="F13" s="8" t="s">
        <v>169</v>
      </c>
      <c r="G13" s="8" t="s">
        <v>170</v>
      </c>
      <c r="H13" s="8" t="s">
        <v>171</v>
      </c>
      <c r="I13" s="8" t="s">
        <v>172</v>
      </c>
      <c r="J13" s="8" t="s">
        <v>173</v>
      </c>
    </row>
  </sheetData>
  <mergeCells count="1">
    <mergeCell ref="B2:P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문서 개요</vt:lpstr>
      <vt:lpstr>적 난이도</vt:lpstr>
      <vt:lpstr>EnemyGroup</vt:lpstr>
      <vt:lpstr>EnemyUnitInfo</vt:lpstr>
      <vt:lpstr>UnitGrowthExp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k2104200016</dc:creator>
  <cp:lastModifiedBy>user</cp:lastModifiedBy>
  <dcterms:created xsi:type="dcterms:W3CDTF">2015-06-05T18:19:34Z</dcterms:created>
  <dcterms:modified xsi:type="dcterms:W3CDTF">2026-06-09T09:16:57Z</dcterms:modified>
</cp:coreProperties>
</file>