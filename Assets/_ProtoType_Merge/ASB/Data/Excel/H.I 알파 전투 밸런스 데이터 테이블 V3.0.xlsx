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2104200016\Downloads\"/>
    </mc:Choice>
  </mc:AlternateContent>
  <xr:revisionPtr revIDLastSave="0" documentId="8_{79F556AD-915B-428C-BF67-200573A60E7E}" xr6:coauthVersionLast="36" xr6:coauthVersionMax="36" xr10:uidLastSave="{00000000-0000-0000-0000-000000000000}"/>
  <bookViews>
    <workbookView xWindow="-120" yWindow="-120" windowWidth="38640" windowHeight="15720" tabRatio="834" xr2:uid="{00000000-000D-0000-FFFF-FFFF00000000}"/>
  </bookViews>
  <sheets>
    <sheet name="수정 내역" sheetId="41" r:id="rId1"/>
    <sheet name="PlayerUnit" sheetId="35" r:id="rId2"/>
    <sheet name="UnitGrowthExp" sheetId="36" r:id="rId3"/>
    <sheet name="EnemyUnit" sheetId="43" r:id="rId4"/>
    <sheet name="EnemyGroup" sheetId="38" r:id="rId5"/>
    <sheet name="ClassSkill" sheetId="39" r:id="rId6"/>
    <sheet name="PlayerWeapon" sheetId="40" r:id="rId7"/>
    <sheet name="SkillRisk" sheetId="42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7" i="39" l="1"/>
  <c r="X36" i="39"/>
  <c r="X33" i="39"/>
  <c r="X32" i="39"/>
  <c r="X29" i="39"/>
  <c r="X28" i="39"/>
  <c r="X27" i="39"/>
  <c r="X25" i="39"/>
  <c r="X24" i="39"/>
  <c r="X23" i="39"/>
  <c r="X21" i="39"/>
  <c r="X19" i="39"/>
  <c r="X17" i="39"/>
  <c r="X15" i="39"/>
  <c r="X12" i="39"/>
  <c r="X11" i="39"/>
  <c r="X8" i="39"/>
  <c r="X7" i="39"/>
  <c r="V37" i="39"/>
  <c r="V36" i="39"/>
  <c r="V33" i="39"/>
  <c r="V32" i="39"/>
  <c r="V29" i="39"/>
  <c r="V28" i="39"/>
  <c r="V27" i="39"/>
  <c r="V25" i="39"/>
  <c r="V24" i="39"/>
  <c r="V23" i="39"/>
  <c r="V21" i="39"/>
  <c r="V19" i="39"/>
  <c r="V17" i="39"/>
  <c r="V15" i="39"/>
  <c r="V12" i="39"/>
  <c r="V11" i="39"/>
  <c r="V8" i="39"/>
  <c r="V7" i="39"/>
  <c r="T37" i="39"/>
  <c r="T36" i="39"/>
  <c r="T33" i="39"/>
  <c r="T32" i="39"/>
  <c r="T29" i="39"/>
  <c r="T28" i="39"/>
  <c r="T27" i="39"/>
  <c r="T25" i="39"/>
  <c r="T24" i="39"/>
  <c r="T23" i="39"/>
  <c r="T21" i="39"/>
  <c r="T19" i="39"/>
  <c r="T17" i="39"/>
  <c r="T15" i="39"/>
  <c r="T12" i="39"/>
  <c r="T11" i="39"/>
  <c r="T8" i="39"/>
  <c r="T7" i="39"/>
  <c r="R7" i="39"/>
  <c r="R8" i="39"/>
  <c r="R11" i="39"/>
  <c r="R12" i="39"/>
  <c r="R15" i="39"/>
  <c r="R17" i="39"/>
  <c r="R19" i="39"/>
  <c r="R21" i="39"/>
  <c r="R23" i="39"/>
  <c r="R24" i="39"/>
  <c r="R25" i="39"/>
  <c r="R27" i="39"/>
  <c r="R28" i="39"/>
  <c r="R29" i="39"/>
  <c r="R32" i="39"/>
  <c r="R33" i="39"/>
  <c r="R36" i="39"/>
  <c r="R37" i="39"/>
  <c r="W7" i="39"/>
  <c r="W8" i="39"/>
  <c r="W9" i="39"/>
  <c r="W10" i="39"/>
  <c r="W11" i="39"/>
  <c r="W12" i="39"/>
  <c r="W13" i="39"/>
  <c r="W14" i="39"/>
  <c r="W15" i="39"/>
  <c r="W16" i="39"/>
  <c r="W17" i="39"/>
  <c r="W18" i="39"/>
  <c r="W19" i="39"/>
  <c r="W20" i="39"/>
  <c r="W21" i="39"/>
  <c r="W22" i="39"/>
  <c r="W23" i="39"/>
  <c r="W24" i="39"/>
  <c r="W25" i="39"/>
  <c r="W26" i="39"/>
  <c r="W27" i="39"/>
  <c r="W28" i="39"/>
  <c r="W29" i="39"/>
  <c r="W30" i="39"/>
  <c r="W31" i="39"/>
  <c r="W32" i="39"/>
  <c r="W33" i="39"/>
  <c r="W34" i="39"/>
  <c r="W35" i="39"/>
  <c r="W36" i="39"/>
  <c r="W37" i="39"/>
  <c r="W6" i="39"/>
  <c r="U7" i="39"/>
  <c r="U8" i="39"/>
  <c r="U9" i="39"/>
  <c r="U10" i="39"/>
  <c r="U11" i="39"/>
  <c r="U12" i="39"/>
  <c r="U13" i="39"/>
  <c r="U14" i="39"/>
  <c r="U15" i="39"/>
  <c r="U16" i="39"/>
  <c r="U17" i="39"/>
  <c r="U18" i="39"/>
  <c r="U19" i="39"/>
  <c r="U20" i="39"/>
  <c r="U21" i="39"/>
  <c r="U22" i="39"/>
  <c r="U23" i="39"/>
  <c r="U24" i="39"/>
  <c r="U25" i="39"/>
  <c r="U26" i="39"/>
  <c r="U27" i="39"/>
  <c r="U28" i="39"/>
  <c r="U29" i="39"/>
  <c r="U30" i="39"/>
  <c r="U31" i="39"/>
  <c r="U32" i="39"/>
  <c r="U33" i="39"/>
  <c r="U34" i="39"/>
  <c r="U35" i="39"/>
  <c r="U36" i="39"/>
  <c r="U37" i="39"/>
  <c r="U6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7" i="39"/>
  <c r="S8" i="39"/>
  <c r="S6" i="39"/>
  <c r="Q7" i="39"/>
  <c r="Q8" i="39"/>
  <c r="Q9" i="39"/>
  <c r="Q10" i="39"/>
  <c r="Q11" i="39"/>
  <c r="Q12" i="39"/>
  <c r="Q13" i="39"/>
  <c r="Q14" i="39"/>
  <c r="Q15" i="39"/>
  <c r="Q16" i="39"/>
  <c r="Q17" i="39"/>
  <c r="Q18" i="39"/>
  <c r="Q19" i="39"/>
  <c r="Q20" i="39"/>
  <c r="Q21" i="39"/>
  <c r="Q22" i="39"/>
  <c r="Q23" i="39"/>
  <c r="Q24" i="39"/>
  <c r="Q25" i="39"/>
  <c r="Q26" i="39"/>
  <c r="Q27" i="39"/>
  <c r="Q28" i="39"/>
  <c r="Q29" i="39"/>
  <c r="Q30" i="39"/>
  <c r="Q31" i="39"/>
  <c r="Q32" i="39"/>
  <c r="Q33" i="39"/>
  <c r="Q34" i="39"/>
  <c r="Q35" i="39"/>
  <c r="Q36" i="39"/>
  <c r="Q37" i="39"/>
  <c r="Q6" i="39"/>
  <c r="AR6" i="40" l="1"/>
  <c r="AR7" i="40"/>
  <c r="AR8" i="40"/>
  <c r="AR9" i="40"/>
  <c r="AR10" i="40"/>
  <c r="AL10" i="40" l="1"/>
  <c r="AN10" i="40" s="1"/>
  <c r="AP10" i="40" s="1"/>
  <c r="AL9" i="40"/>
  <c r="AN9" i="40" s="1"/>
  <c r="AP9" i="40" s="1"/>
  <c r="AL8" i="40"/>
  <c r="AN8" i="40" s="1"/>
  <c r="AP8" i="40" s="1"/>
  <c r="AL7" i="40"/>
  <c r="AN7" i="40" s="1"/>
  <c r="AP7" i="40" s="1"/>
  <c r="AL6" i="40"/>
  <c r="AN6" i="40" s="1"/>
  <c r="AP6" i="40" s="1"/>
</calcChain>
</file>

<file path=xl/sharedStrings.xml><?xml version="1.0" encoding="utf-8"?>
<sst xmlns="http://schemas.openxmlformats.org/spreadsheetml/2006/main" count="1045" uniqueCount="602">
  <si>
    <t>Class</t>
    <phoneticPr fontId="1" type="noConversion"/>
  </si>
  <si>
    <t>CriticalRate</t>
    <phoneticPr fontId="1" type="noConversion"/>
  </si>
  <si>
    <t>Speed</t>
    <phoneticPr fontId="1" type="noConversion"/>
  </si>
  <si>
    <t>스피드</t>
    <phoneticPr fontId="1" type="noConversion"/>
  </si>
  <si>
    <t>CounterRate</t>
    <phoneticPr fontId="1" type="noConversion"/>
  </si>
  <si>
    <t>회피율</t>
    <phoneticPr fontId="1" type="noConversion"/>
  </si>
  <si>
    <t>반격율</t>
    <phoneticPr fontId="1" type="noConversion"/>
  </si>
  <si>
    <t>치명타율</t>
    <phoneticPr fontId="1" type="noConversion"/>
  </si>
  <si>
    <t>레벨</t>
    <phoneticPr fontId="1" type="noConversion"/>
  </si>
  <si>
    <t>ClassSkillName</t>
    <phoneticPr fontId="1" type="noConversion"/>
  </si>
  <si>
    <t>직업 스킬명</t>
    <phoneticPr fontId="1" type="noConversion"/>
  </si>
  <si>
    <t>ClassSkillDescription</t>
    <phoneticPr fontId="1" type="noConversion"/>
  </si>
  <si>
    <t>직업 스킬 설명</t>
    <phoneticPr fontId="1" type="noConversion"/>
  </si>
  <si>
    <t>ClassSkillIndex</t>
    <phoneticPr fontId="1" type="noConversion"/>
  </si>
  <si>
    <t>직업 스킬 인덱스</t>
    <phoneticPr fontId="1" type="noConversion"/>
  </si>
  <si>
    <t>WeaponSkillIndex</t>
    <phoneticPr fontId="1" type="noConversion"/>
  </si>
  <si>
    <t>WeaponName</t>
    <phoneticPr fontId="1" type="noConversion"/>
  </si>
  <si>
    <t>WeaponSkillName</t>
    <phoneticPr fontId="1" type="noConversion"/>
  </si>
  <si>
    <t>int</t>
    <phoneticPr fontId="1" type="noConversion"/>
  </si>
  <si>
    <t>string</t>
    <phoneticPr fontId="1" type="noConversion"/>
  </si>
  <si>
    <t>EnemyIndex</t>
    <phoneticPr fontId="1" type="noConversion"/>
  </si>
  <si>
    <t>WeaponIndex</t>
    <phoneticPr fontId="1" type="noConversion"/>
  </si>
  <si>
    <t>list&lt;int&gt;</t>
    <phoneticPr fontId="1" type="noConversion"/>
  </si>
  <si>
    <t>UnitAI</t>
    <phoneticPr fontId="1" type="noConversion"/>
  </si>
  <si>
    <t>적군 유닛명</t>
    <phoneticPr fontId="1" type="noConversion"/>
  </si>
  <si>
    <t>EnemyName</t>
    <phoneticPr fontId="1" type="noConversion"/>
  </si>
  <si>
    <t>ClassName</t>
    <phoneticPr fontId="1" type="noConversion"/>
  </si>
  <si>
    <t>ClassConcept</t>
    <phoneticPr fontId="1" type="noConversion"/>
  </si>
  <si>
    <t>ClassIndex</t>
    <phoneticPr fontId="1" type="noConversion"/>
  </si>
  <si>
    <t>직업명</t>
    <phoneticPr fontId="1" type="noConversion"/>
  </si>
  <si>
    <t>WaeponDescription</t>
    <phoneticPr fontId="1" type="noConversion"/>
  </si>
  <si>
    <t>BonusSpeed</t>
    <phoneticPr fontId="1" type="noConversion"/>
  </si>
  <si>
    <t>BonusCriticalRate</t>
    <phoneticPr fontId="1" type="noConversion"/>
  </si>
  <si>
    <t>BonusCounterRate</t>
    <phoneticPr fontId="1" type="noConversion"/>
  </si>
  <si>
    <t>ClassSkillIndexList</t>
    <phoneticPr fontId="1" type="noConversion"/>
  </si>
  <si>
    <t>WeaponIndexList</t>
    <phoneticPr fontId="1" type="noConversion"/>
  </si>
  <si>
    <t>ReduceRate</t>
    <phoneticPr fontId="1" type="noConversion"/>
  </si>
  <si>
    <t>적군 유닛
인덱스</t>
    <phoneticPr fontId="1" type="noConversion"/>
  </si>
  <si>
    <t>EnemyConcept</t>
    <phoneticPr fontId="1" type="noConversion"/>
  </si>
  <si>
    <t>EnemySkill1
Name</t>
    <phoneticPr fontId="1" type="noConversion"/>
  </si>
  <si>
    <t>EnemySkill1
Description</t>
    <phoneticPr fontId="1" type="noConversion"/>
  </si>
  <si>
    <t>적군 스킬1
설명</t>
    <phoneticPr fontId="1" type="noConversion"/>
  </si>
  <si>
    <t>적군 스킬2
설명</t>
    <phoneticPr fontId="1" type="noConversion"/>
  </si>
  <si>
    <t>EnemySkill2
Name</t>
    <phoneticPr fontId="1" type="noConversion"/>
  </si>
  <si>
    <t>EnemySkill2
Description</t>
    <phoneticPr fontId="1" type="noConversion"/>
  </si>
  <si>
    <t>적군 유닛 행동 규칙</t>
    <phoneticPr fontId="1" type="noConversion"/>
  </si>
  <si>
    <t>적군 스킬1 스킬명</t>
    <phoneticPr fontId="1" type="noConversion"/>
  </si>
  <si>
    <t>적군 스킬2 스킬명</t>
    <phoneticPr fontId="1" type="noConversion"/>
  </si>
  <si>
    <t>WeaponSkillDescription</t>
    <phoneticPr fontId="1" type="noConversion"/>
  </si>
  <si>
    <t>WeaponSkillEffect</t>
    <phoneticPr fontId="1" type="noConversion"/>
  </si>
  <si>
    <t>WeaponSkillRange</t>
    <phoneticPr fontId="1" type="noConversion"/>
  </si>
  <si>
    <t>WeaponSkillTarget</t>
    <phoneticPr fontId="1" type="noConversion"/>
  </si>
  <si>
    <t>무기 스킬 사정거리
(0 근거리 1 원거리)</t>
    <phoneticPr fontId="1" type="noConversion"/>
  </si>
  <si>
    <t>무기 스킬 대상
(0 단일 1 복수 2 전체)</t>
    <phoneticPr fontId="1" type="noConversion"/>
  </si>
  <si>
    <t>직업 스킬 대상
(0 단일 1 복수 2 전체)</t>
    <phoneticPr fontId="1" type="noConversion"/>
  </si>
  <si>
    <t>직업 스킬 사정거리
(0 근거리 1 원거리)</t>
    <phoneticPr fontId="1" type="noConversion"/>
  </si>
  <si>
    <t>ClassSkillEffect</t>
    <phoneticPr fontId="1" type="noConversion"/>
  </si>
  <si>
    <t>ClassSkillRange</t>
    <phoneticPr fontId="1" type="noConversion"/>
  </si>
  <si>
    <t>ClassSkillTarget</t>
    <phoneticPr fontId="1" type="noConversion"/>
  </si>
  <si>
    <t>적군 스킬 1 사정거리
(0 근거리 1 원거리)</t>
    <phoneticPr fontId="1" type="noConversion"/>
  </si>
  <si>
    <t>적군 스킬 1 대상
(0 단일 1 복수 2 전체)</t>
    <phoneticPr fontId="1" type="noConversion"/>
  </si>
  <si>
    <t>적군 스킬 2 대상
(0 단일 1 복수 2 전체)</t>
    <phoneticPr fontId="1" type="noConversion"/>
  </si>
  <si>
    <t>적군 스킬 2 계수</t>
    <phoneticPr fontId="1" type="noConversion"/>
  </si>
  <si>
    <t>적군 스킬 1 계수</t>
    <phoneticPr fontId="1" type="noConversion"/>
  </si>
  <si>
    <t>EnemySkill1Effect</t>
    <phoneticPr fontId="1" type="noConversion"/>
  </si>
  <si>
    <t>EnemySkill1Range</t>
    <phoneticPr fontId="1" type="noConversion"/>
  </si>
  <si>
    <t>EnemySkill1Target</t>
    <phoneticPr fontId="1" type="noConversion"/>
  </si>
  <si>
    <t>EnemySkill1Value</t>
    <phoneticPr fontId="1" type="noConversion"/>
  </si>
  <si>
    <t>EnemySkill2Effect</t>
    <phoneticPr fontId="1" type="noConversion"/>
  </si>
  <si>
    <t>EnemySkill2Range</t>
    <phoneticPr fontId="1" type="noConversion"/>
  </si>
  <si>
    <t>EnemySkill2Target</t>
    <phoneticPr fontId="1" type="noConversion"/>
  </si>
  <si>
    <t>EnemySkill2Value</t>
    <phoneticPr fontId="1" type="noConversion"/>
  </si>
  <si>
    <t>BonusReduceRate</t>
    <phoneticPr fontId="1" type="noConversion"/>
  </si>
  <si>
    <t>경험치</t>
    <phoneticPr fontId="1" type="noConversion"/>
  </si>
  <si>
    <t>ExperiencePoint</t>
    <phoneticPr fontId="1" type="noConversion"/>
  </si>
  <si>
    <t>ClassSkillMultiTarget</t>
    <phoneticPr fontId="1" type="noConversion"/>
  </si>
  <si>
    <t>ClassSkill
MultiTargetType</t>
    <phoneticPr fontId="1" type="noConversion"/>
  </si>
  <si>
    <t>ClassSkill
MultiTargetCount</t>
    <phoneticPr fontId="1" type="noConversion"/>
  </si>
  <si>
    <t>직업 스킬 복수 대상
(스킬 대상 1일 경우)</t>
    <phoneticPr fontId="1" type="noConversion"/>
  </si>
  <si>
    <t>직업 스킬 
복수 추가 대상 수
(스킬 대상 1일 경우)</t>
    <phoneticPr fontId="1" type="noConversion"/>
  </si>
  <si>
    <t>{3}</t>
    <phoneticPr fontId="1" type="noConversion"/>
  </si>
  <si>
    <t>직업 스킬 
복수 대상 타입
(0 후보 전체 1 랜덤)
(스킬 대상 1일 경우)</t>
    <phoneticPr fontId="1" type="noConversion"/>
  </si>
  <si>
    <t>WeaponSkillMultiTarget</t>
    <phoneticPr fontId="1" type="noConversion"/>
  </si>
  <si>
    <t>WeaponSkill
MultiTargetType</t>
    <phoneticPr fontId="1" type="noConversion"/>
  </si>
  <si>
    <t>무기 스킬 복수 대상
(스킬 대상 1일 경우)</t>
    <phoneticPr fontId="1" type="noConversion"/>
  </si>
  <si>
    <t>무기 스킬 
복수 대상 타입
(0 후보 전체 1 랜덤)
(스킬 대상 1일 경우)</t>
    <phoneticPr fontId="1" type="noConversion"/>
  </si>
  <si>
    <t>무기 스킬 
복수 추가 대상 수
(스킬 대상 1일 경우)</t>
    <phoneticPr fontId="1" type="noConversion"/>
  </si>
  <si>
    <t>EnemySkill1MultiTarget</t>
    <phoneticPr fontId="1" type="noConversion"/>
  </si>
  <si>
    <t>EnemySkill1
MultiTargetType</t>
    <phoneticPr fontId="1" type="noConversion"/>
  </si>
  <si>
    <t>EnemySkill1
MultiTargetCount</t>
    <phoneticPr fontId="1" type="noConversion"/>
  </si>
  <si>
    <t>EnemySkill2MultiTarget</t>
    <phoneticPr fontId="1" type="noConversion"/>
  </si>
  <si>
    <t>EnemySkill2
MultiTargetType</t>
    <phoneticPr fontId="1" type="noConversion"/>
  </si>
  <si>
    <t>EnemySkill2
MultiTargetCount</t>
    <phoneticPr fontId="1" type="noConversion"/>
  </si>
  <si>
    <t>적군 스킬 1 복수 대상
(스킬 대상 1일 경우)</t>
    <phoneticPr fontId="1" type="noConversion"/>
  </si>
  <si>
    <t>적군 스킬 1
복수 대상 타입
(0 후보 전체 1 랜덤)
(스킬 대상 1일 경우)</t>
    <phoneticPr fontId="1" type="noConversion"/>
  </si>
  <si>
    <t>적군 스킬 1
복수 추가 대상 수
(스킬 대상 1일 경우)</t>
    <phoneticPr fontId="1" type="noConversion"/>
  </si>
  <si>
    <t>적군 스킬 2 복수 대상
(스킬 대상 1일 경우)</t>
    <phoneticPr fontId="1" type="noConversion"/>
  </si>
  <si>
    <t>적군 스킬 2
복수 대상 타입
(0 후보 전체 1 랜덤)
(스킬 대상 1일 경우)</t>
    <phoneticPr fontId="1" type="noConversion"/>
  </si>
  <si>
    <t>적군 스킬 2
복수 추가 대상 수
(스킬 대상 1일 경우)</t>
    <phoneticPr fontId="1" type="noConversion"/>
  </si>
  <si>
    <t>유닛 체력</t>
    <phoneticPr fontId="1" type="noConversion"/>
  </si>
  <si>
    <t>유닛 공격력</t>
    <phoneticPr fontId="1" type="noConversion"/>
  </si>
  <si>
    <t>유닛 방어력</t>
    <phoneticPr fontId="1" type="noConversion"/>
  </si>
  <si>
    <t>유닛당 랭크업
필요 경험치</t>
    <phoneticPr fontId="1" type="noConversion"/>
  </si>
  <si>
    <t>S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</si>
  <si>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</si>
  <si>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</si>
  <si>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</si>
  <si>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</si>
  <si>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</t>
    <phoneticPr fontId="1" type="noConversion"/>
  </si>
  <si>
    <t>유닛 최대 체력</t>
    <phoneticPr fontId="1" type="noConversion"/>
  </si>
  <si>
    <t>UnitDEF</t>
    <phoneticPr fontId="1" type="noConversion"/>
  </si>
  <si>
    <t>UnitATK</t>
    <phoneticPr fontId="1" type="noConversion"/>
  </si>
  <si>
    <t>UnitMaxHP</t>
    <phoneticPr fontId="1" type="noConversion"/>
  </si>
  <si>
    <t>IPCost</t>
    <phoneticPr fontId="1" type="noConversion"/>
  </si>
  <si>
    <t>IP 코스트</t>
    <phoneticPr fontId="1" type="noConversion"/>
  </si>
  <si>
    <t>적군 스킬 2 사정거리
(0 근거리 1 원거리)</t>
    <phoneticPr fontId="1" type="noConversion"/>
  </si>
  <si>
    <t>WeaponSkillRangeLine</t>
    <phoneticPr fontId="1" type="noConversion"/>
  </si>
  <si>
    <t>ClassSkillRangeLine</t>
    <phoneticPr fontId="1" type="noConversion"/>
  </si>
  <si>
    <t xml:space="preserve">직업 스킬
사정거리 라인
0 전열 우선 (적 전열이 있을 경우 전열 공격) 
1 전열/후열 선택 가능
2 후열 우선 </t>
    <phoneticPr fontId="1" type="noConversion"/>
  </si>
  <si>
    <t>무기 스킬
사정거리 라인
0 전열 우선 (적 전열이 있을 경우 전열 공격) 
1 전열/후열 선택 가능 
2 후열 우선</t>
    <phoneticPr fontId="1" type="noConversion"/>
  </si>
  <si>
    <t>EnemySkill1RangeLine</t>
    <phoneticPr fontId="1" type="noConversion"/>
  </si>
  <si>
    <t>EnemySkill2RangeLine</t>
    <phoneticPr fontId="1" type="noConversion"/>
  </si>
  <si>
    <t>적군 스킬 2
사정거리 라인
0 전열 우선 (전열이 있을 경우 전열 공격) 
1 전열/후열 선택 가능
2 후열 우선</t>
    <phoneticPr fontId="1" type="noConversion"/>
  </si>
  <si>
    <t>적군 스킬 1
사정거리 라인
0 전열 우선 (전열이 있을 경우 전열 공격) 
1 전열/후열 선택 가능
2 후열 우선</t>
    <phoneticPr fontId="1" type="noConversion"/>
  </si>
  <si>
    <t xml:space="preserve">최대 I.P 추가 </t>
  </si>
  <si>
    <t>블래스터</t>
  </si>
  <si>
    <t>스트라이커</t>
  </si>
  <si>
    <t>서포터</t>
  </si>
  <si>
    <t>파이터</t>
  </si>
  <si>
    <t>적군 스킬 2 효과
(0 공격 1 회복 2 부활)</t>
  </si>
  <si>
    <t>직업 스킬 효과
(0 공격 1 회복 2 부활)</t>
  </si>
  <si>
    <t>{9}</t>
  </si>
  <si>
    <t>{0}</t>
  </si>
  <si>
    <t>LevelGrowthMaxHP</t>
    <phoneticPr fontId="1" type="noConversion"/>
  </si>
  <si>
    <t>LevelGrowthMaxAtk</t>
    <phoneticPr fontId="1" type="noConversion"/>
  </si>
  <si>
    <t>LevelGrowthMaxDef</t>
    <phoneticPr fontId="1" type="noConversion"/>
  </si>
  <si>
    <t>무기 스킬 계수 Lv1</t>
    <phoneticPr fontId="1" type="noConversion"/>
  </si>
  <si>
    <t>WeaponSkillValueLv1</t>
    <phoneticPr fontId="1" type="noConversion"/>
  </si>
  <si>
    <t>WeaponSkillSubValueLv1</t>
    <phoneticPr fontId="1" type="noConversion"/>
  </si>
  <si>
    <t>무기 스킬
추가 계수 Lv1</t>
    <phoneticPr fontId="1" type="noConversion"/>
  </si>
  <si>
    <t>WeaponSkillValueLv2</t>
    <phoneticPr fontId="1" type="noConversion"/>
  </si>
  <si>
    <t>무기 스킬 계수 Lv2</t>
    <phoneticPr fontId="1" type="noConversion"/>
  </si>
  <si>
    <t>WeaponSkillSubValueLv2</t>
    <phoneticPr fontId="1" type="noConversion"/>
  </si>
  <si>
    <t>무기 스킬
추가 계수 Lv2</t>
    <phoneticPr fontId="1" type="noConversion"/>
  </si>
  <si>
    <t>WeaponSkillSubValueLv3</t>
    <phoneticPr fontId="1" type="noConversion"/>
  </si>
  <si>
    <t>WeaponSkillValueLv3</t>
    <phoneticPr fontId="1" type="noConversion"/>
  </si>
  <si>
    <t>무기 스킬 계수 Lv3</t>
    <phoneticPr fontId="1" type="noConversion"/>
  </si>
  <si>
    <t>무기 스킬
추가 계수 Lv3</t>
    <phoneticPr fontId="1" type="noConversion"/>
  </si>
  <si>
    <t>BonusMaxHPLv1</t>
    <phoneticPr fontId="1" type="noConversion"/>
  </si>
  <si>
    <t>BonusMaxHPLv2</t>
    <phoneticPr fontId="1" type="noConversion"/>
  </si>
  <si>
    <t>BonusMaxHPLv3</t>
    <phoneticPr fontId="1" type="noConversion"/>
  </si>
  <si>
    <t>BonusATKLv1</t>
    <phoneticPr fontId="1" type="noConversion"/>
  </si>
  <si>
    <t>BonusATKLv2</t>
    <phoneticPr fontId="1" type="noConversion"/>
  </si>
  <si>
    <t>BonusATKLv3</t>
    <phoneticPr fontId="1" type="noConversion"/>
  </si>
  <si>
    <t>BonusDEFLv1</t>
    <phoneticPr fontId="1" type="noConversion"/>
  </si>
  <si>
    <t>BonusDEFLv2</t>
    <phoneticPr fontId="1" type="noConversion"/>
  </si>
  <si>
    <t>BonusDEFLv3</t>
    <phoneticPr fontId="1" type="noConversion"/>
  </si>
  <si>
    <t>ClassSkillSubValueLv1</t>
    <phoneticPr fontId="1" type="noConversion"/>
  </si>
  <si>
    <t>ClassSkillValueLv1</t>
    <phoneticPr fontId="1" type="noConversion"/>
  </si>
  <si>
    <t>ClassSkillValueLv2</t>
    <phoneticPr fontId="1" type="noConversion"/>
  </si>
  <si>
    <t>ClassSkillSubValueLv2</t>
    <phoneticPr fontId="1" type="noConversion"/>
  </si>
  <si>
    <t>ClassSkillValueLv3</t>
    <phoneticPr fontId="1" type="noConversion"/>
  </si>
  <si>
    <t>ClassSkillSubValueLv3</t>
    <phoneticPr fontId="1" type="noConversion"/>
  </si>
  <si>
    <t>ClassSkillValueLv4</t>
    <phoneticPr fontId="1" type="noConversion"/>
  </si>
  <si>
    <t>ClassSkillSubValueLv4</t>
    <phoneticPr fontId="1" type="noConversion"/>
  </si>
  <si>
    <t>직업 스킬 계수 Lv1</t>
    <phoneticPr fontId="1" type="noConversion"/>
  </si>
  <si>
    <t>직업 스킬 추가 계수 Lv1</t>
    <phoneticPr fontId="1" type="noConversion"/>
  </si>
  <si>
    <t>직업 스킬 계수 Lv2</t>
    <phoneticPr fontId="1" type="noConversion"/>
  </si>
  <si>
    <t>직업 스킬 추가 계수 Lv2</t>
    <phoneticPr fontId="1" type="noConversion"/>
  </si>
  <si>
    <t>직업 스킬 계수 Lv3</t>
    <phoneticPr fontId="1" type="noConversion"/>
  </si>
  <si>
    <t>직업 스킬 추가 계수 Lv3</t>
    <phoneticPr fontId="1" type="noConversion"/>
  </si>
  <si>
    <t>직업 스킬 계수 Lv4</t>
    <phoneticPr fontId="1" type="noConversion"/>
  </si>
  <si>
    <t>직업 스킬 추가 계수 Lv4</t>
    <phoneticPr fontId="1" type="noConversion"/>
  </si>
  <si>
    <t>적 1명에게 {ClassSkillValue} 대미지를 입히고, 1턴 동안 해당 대상이 단일 공격 시 자신을 공격하게 한다. (적 전열이 있을 경우, 전열 우선 공격)</t>
  </si>
  <si>
    <t>적 1명에게 {ClassSkillValue} 대미지를 입힌다.</t>
  </si>
  <si>
    <t>적 1명에게 {ClassSkillValue} 대미지를 입힌다.</t>
    <phoneticPr fontId="1" type="noConversion"/>
  </si>
  <si>
    <t>전열의 적 한 명에게 {ClassSkillValue} 대미지를 입히고, 해당 후열에 있는 적 한 명에게 추가로 {ClassSkillSubValue} 대미지를 입힌다. (전열의 적이 없을 경우 후열의 적 한 명만을 공격)</t>
    <phoneticPr fontId="1" type="noConversion"/>
  </si>
  <si>
    <t>적 1명에게 {ClassSkillValue}대미지를 두 번 입힌다. (치명타, 회피율 판정은 각각 계산한다.)</t>
  </si>
  <si>
    <t xml:space="preserve"> 습득 랭크</t>
    <phoneticPr fontId="1" type="noConversion"/>
  </si>
  <si>
    <t>ClassSkill
AcquireRank</t>
    <phoneticPr fontId="1" type="noConversion"/>
  </si>
  <si>
    <t>UnitName</t>
    <phoneticPr fontId="1" type="noConversion"/>
  </si>
  <si>
    <t>#Comment</t>
    <phoneticPr fontId="1" type="noConversion"/>
  </si>
  <si>
    <t>#Type</t>
    <phoneticPr fontId="1" type="noConversion"/>
  </si>
  <si>
    <t>percent</t>
    <phoneticPr fontId="1" type="noConversion"/>
  </si>
  <si>
    <t>#Name</t>
    <phoneticPr fontId="1" type="noConversion"/>
  </si>
  <si>
    <t>#Data</t>
    <phoneticPr fontId="1" type="noConversion"/>
  </si>
  <si>
    <t>#End</t>
    <phoneticPr fontId="1" type="noConversion"/>
  </si>
  <si>
    <t>여긴 안씀</t>
    <phoneticPr fontId="1" type="noConversion"/>
  </si>
  <si>
    <t>아군 유닛 식별용 
인덱스</t>
    <phoneticPr fontId="1" type="noConversion"/>
  </si>
  <si>
    <t>인게임상
표기 클래스</t>
    <phoneticPr fontId="1" type="noConversion"/>
  </si>
  <si>
    <t>인게임상
표기 설명</t>
    <phoneticPr fontId="1" type="noConversion"/>
  </si>
  <si>
    <t>유닛 크리티컬율</t>
    <phoneticPr fontId="1" type="noConversion"/>
  </si>
  <si>
    <t>유닛 피해 경감율</t>
    <phoneticPr fontId="1" type="noConversion"/>
  </si>
  <si>
    <t>유닛 반격률</t>
    <phoneticPr fontId="1" type="noConversion"/>
  </si>
  <si>
    <t>유닛 스피드</t>
    <phoneticPr fontId="1" type="noConversion"/>
  </si>
  <si>
    <t xml:space="preserve">유닛 사용하는 스킬 리스트 </t>
    <phoneticPr fontId="1" type="noConversion"/>
  </si>
  <si>
    <t>유닛 사용하는 무기 리스트</t>
    <phoneticPr fontId="1" type="noConversion"/>
  </si>
  <si>
    <t>레벨당 증가 체력</t>
    <phoneticPr fontId="1" type="noConversion"/>
  </si>
  <si>
    <t>레벨당 증가 공격력</t>
    <phoneticPr fontId="1" type="noConversion"/>
  </si>
  <si>
    <t>레벨당 증가 방어력</t>
    <phoneticPr fontId="1" type="noConversion"/>
  </si>
  <si>
    <t>WeaponSkillMultiTargetCount</t>
    <phoneticPr fontId="1" type="noConversion"/>
  </si>
  <si>
    <t>무기 식별용 
인덱스</t>
    <phoneticPr fontId="1" type="noConversion"/>
  </si>
  <si>
    <t>인게임상
표기 장비 이름</t>
    <phoneticPr fontId="1" type="noConversion"/>
  </si>
  <si>
    <t>Lv1일 때
무기 체력</t>
    <phoneticPr fontId="1" type="noConversion"/>
  </si>
  <si>
    <t>Lv2일 때
무기 체력</t>
    <phoneticPr fontId="1" type="noConversion"/>
  </si>
  <si>
    <t>Lv3일 때
무기 체력</t>
    <phoneticPr fontId="1" type="noConversion"/>
  </si>
  <si>
    <t>Lv1일 때
무기 공격력</t>
    <phoneticPr fontId="1" type="noConversion"/>
  </si>
  <si>
    <t>Lv2일 때
무기 공격력</t>
    <phoneticPr fontId="1" type="noConversion"/>
  </si>
  <si>
    <t>Lv3일 때
무기 공격력</t>
    <phoneticPr fontId="1" type="noConversion"/>
  </si>
  <si>
    <t>Lv1일 때
무기 방어력</t>
    <phoneticPr fontId="1" type="noConversion"/>
  </si>
  <si>
    <t>Lv2일 때
무기 방어력</t>
    <phoneticPr fontId="1" type="noConversion"/>
  </si>
  <si>
    <t>Lv3일 때
무기 방어력</t>
    <phoneticPr fontId="1" type="noConversion"/>
  </si>
  <si>
    <t>무기 치명타율</t>
    <phoneticPr fontId="1" type="noConversion"/>
  </si>
  <si>
    <t>무기 반격률</t>
    <phoneticPr fontId="1" type="noConversion"/>
  </si>
  <si>
    <t>무기 피해 경감율</t>
    <phoneticPr fontId="1" type="noConversion"/>
  </si>
  <si>
    <t>무기 스피드</t>
    <phoneticPr fontId="1" type="noConversion"/>
  </si>
  <si>
    <t>무기 데이터 테이블</t>
    <phoneticPr fontId="1" type="noConversion"/>
  </si>
  <si>
    <t>아군 유닛 스테이터스 데이터 테이블</t>
    <phoneticPr fontId="1" type="noConversion"/>
  </si>
  <si>
    <t>무기 스킬 인덱스용 테이블</t>
    <phoneticPr fontId="1" type="noConversion"/>
  </si>
  <si>
    <t>인게임 표기 무기 스킬명</t>
    <phoneticPr fontId="1" type="noConversion"/>
  </si>
  <si>
    <t>인게임 표기 무기 설명</t>
    <phoneticPr fontId="1" type="noConversion"/>
  </si>
  <si>
    <t>적군 유닛 테이블</t>
    <phoneticPr fontId="1" type="noConversion"/>
  </si>
  <si>
    <t>인게임용 적군 유닛 콘셉트</t>
    <phoneticPr fontId="1" type="noConversion"/>
  </si>
  <si>
    <t>아군 유닛 클래스별 직업 스킬</t>
    <phoneticPr fontId="1" type="noConversion"/>
  </si>
  <si>
    <t>ClassSkillValueLv5</t>
    <phoneticPr fontId="1" type="noConversion"/>
  </si>
  <si>
    <t>ClassSkillSubValueLv5</t>
    <phoneticPr fontId="1" type="noConversion"/>
  </si>
  <si>
    <t>직업 스킬 계수 Lv5</t>
    <phoneticPr fontId="1" type="noConversion"/>
  </si>
  <si>
    <t>직업 스킬 추가 계수 Lv5</t>
    <phoneticPr fontId="1" type="noConversion"/>
  </si>
  <si>
    <t>BonusMaxHPLv4</t>
    <phoneticPr fontId="1" type="noConversion"/>
  </si>
  <si>
    <t>BonusMaxHPLv5</t>
    <phoneticPr fontId="1" type="noConversion"/>
  </si>
  <si>
    <t>Lv4일 때
무기 체력</t>
    <phoneticPr fontId="1" type="noConversion"/>
  </si>
  <si>
    <t>Lv5일 때
무기 체력</t>
    <phoneticPr fontId="1" type="noConversion"/>
  </si>
  <si>
    <t>BonusATKLv4</t>
    <phoneticPr fontId="1" type="noConversion"/>
  </si>
  <si>
    <t>Lv4일 때
무기 공격력</t>
    <phoneticPr fontId="1" type="noConversion"/>
  </si>
  <si>
    <t>BonusATKLv5</t>
    <phoneticPr fontId="1" type="noConversion"/>
  </si>
  <si>
    <t>Lv5일 때
무기 공격력</t>
    <phoneticPr fontId="1" type="noConversion"/>
  </si>
  <si>
    <t>BonusDEFLv4</t>
    <phoneticPr fontId="1" type="noConversion"/>
  </si>
  <si>
    <t>Lv34 때
무기 방어력</t>
    <phoneticPr fontId="1" type="noConversion"/>
  </si>
  <si>
    <t>BonusDEFLv5</t>
    <phoneticPr fontId="1" type="noConversion"/>
  </si>
  <si>
    <t>Lv5일 때
무기 방어력</t>
    <phoneticPr fontId="1" type="noConversion"/>
  </si>
  <si>
    <t>WeaponSkillValueLv4</t>
    <phoneticPr fontId="1" type="noConversion"/>
  </si>
  <si>
    <t>WeaponSkillSubValueLv4</t>
    <phoneticPr fontId="1" type="noConversion"/>
  </si>
  <si>
    <t>무기 스킬 계수 Lv4</t>
    <phoneticPr fontId="1" type="noConversion"/>
  </si>
  <si>
    <t>무기 스킬
추가 계수 Lv4</t>
    <phoneticPr fontId="1" type="noConversion"/>
  </si>
  <si>
    <t>WeaponSkillValueLv5</t>
    <phoneticPr fontId="1" type="noConversion"/>
  </si>
  <si>
    <t>WeaponSkillSubValueLv5</t>
    <phoneticPr fontId="1" type="noConversion"/>
  </si>
  <si>
    <t>무기 스킬 계수 Lv5</t>
    <phoneticPr fontId="1" type="noConversion"/>
  </si>
  <si>
    <t>무기 스킬
추가 계수 Lv5</t>
    <phoneticPr fontId="1" type="noConversion"/>
  </si>
  <si>
    <t>인게임 상 표기</t>
    <phoneticPr fontId="1" type="noConversion"/>
  </si>
  <si>
    <t>Level</t>
    <phoneticPr fontId="1" type="noConversion"/>
  </si>
  <si>
    <t>Rank</t>
    <phoneticPr fontId="1" type="noConversion"/>
  </si>
  <si>
    <t>NeedExpieriencePoint</t>
    <phoneticPr fontId="1" type="noConversion"/>
  </si>
  <si>
    <t>AddIP</t>
    <phoneticPr fontId="1" type="noConversion"/>
  </si>
  <si>
    <t>저스티스</t>
    <phoneticPr fontId="1" type="noConversion"/>
  </si>
  <si>
    <t>평균적인 능력치를 지닌 근거리 히어로</t>
    <phoneticPr fontId="1" type="noConversion"/>
  </si>
  <si>
    <t>루미나</t>
    <phoneticPr fontId="1" type="noConversion"/>
  </si>
  <si>
    <t>다중 공격에 특화된 원거리 히어로</t>
    <phoneticPr fontId="1" type="noConversion"/>
  </si>
  <si>
    <t>블랙 불릿</t>
    <phoneticPr fontId="1" type="noConversion"/>
  </si>
  <si>
    <t>단일 공격에 특화된 원거리 히어로</t>
    <phoneticPr fontId="1" type="noConversion"/>
  </si>
  <si>
    <t>네코밍</t>
    <phoneticPr fontId="1" type="noConversion"/>
  </si>
  <si>
    <t>회복이 가능한 원거리 히어로</t>
    <phoneticPr fontId="1" type="noConversion"/>
  </si>
  <si>
    <t>인게임상
표기 이름</t>
    <phoneticPr fontId="1" type="noConversion"/>
  </si>
  <si>
    <t>SS</t>
    <phoneticPr fontId="1" type="noConversion"/>
  </si>
  <si>
    <t>SSS</t>
    <phoneticPr fontId="1" type="noConversion"/>
  </si>
  <si>
    <t>적군 부대 테이블</t>
    <phoneticPr fontId="1" type="noConversion"/>
  </si>
  <si>
    <t>Enemy1</t>
    <phoneticPr fontId="1" type="noConversion"/>
  </si>
  <si>
    <t>Enemy1Slot</t>
    <phoneticPr fontId="5" type="noConversion"/>
  </si>
  <si>
    <t>Enemy2</t>
    <phoneticPr fontId="1" type="noConversion"/>
  </si>
  <si>
    <t>Enemy2Slot</t>
    <phoneticPr fontId="5" type="noConversion"/>
  </si>
  <si>
    <t>Enemy3</t>
    <phoneticPr fontId="1" type="noConversion"/>
  </si>
  <si>
    <t>Enemy3Slot</t>
    <phoneticPr fontId="5" type="noConversion"/>
  </si>
  <si>
    <t>Enemy4</t>
    <phoneticPr fontId="1" type="noConversion"/>
  </si>
  <si>
    <t>Enemy4Slot</t>
    <phoneticPr fontId="5" type="noConversion"/>
  </si>
  <si>
    <t>Enemy5</t>
    <phoneticPr fontId="1" type="noConversion"/>
  </si>
  <si>
    <t>Enemy5Slot</t>
    <phoneticPr fontId="5" type="noConversion"/>
  </si>
  <si>
    <t>유닛 위치</t>
    <phoneticPr fontId="5" type="noConversion"/>
  </si>
  <si>
    <t>알파 초안</t>
    <phoneticPr fontId="1" type="noConversion"/>
  </si>
  <si>
    <t>변경 내역</t>
    <phoneticPr fontId="1" type="noConversion"/>
  </si>
  <si>
    <t>EnemyGroupName</t>
  </si>
  <si>
    <t>MinLevel</t>
    <phoneticPr fontId="1" type="noConversion"/>
  </si>
  <si>
    <t>int</t>
    <phoneticPr fontId="1" type="noConversion"/>
  </si>
  <si>
    <t>MaxLevel</t>
    <phoneticPr fontId="1" type="noConversion"/>
  </si>
  <si>
    <t>유닛 종류</t>
    <phoneticPr fontId="1" type="noConversion"/>
  </si>
  <si>
    <t>유닛 그룹명</t>
    <phoneticPr fontId="1" type="noConversion"/>
  </si>
  <si>
    <t>최소 레벨</t>
    <phoneticPr fontId="1" type="noConversion"/>
  </si>
  <si>
    <t>최대 레벨</t>
    <phoneticPr fontId="1" type="noConversion"/>
  </si>
  <si>
    <t>체력 성장치</t>
    <phoneticPr fontId="1" type="noConversion"/>
  </si>
  <si>
    <t>공격력 성장치</t>
    <phoneticPr fontId="1" type="noConversion"/>
  </si>
  <si>
    <t>방어력 성장치</t>
    <phoneticPr fontId="1" type="noConversion"/>
  </si>
  <si>
    <t>기본 코어</t>
  </si>
  <si>
    <t>광역 코어</t>
  </si>
  <si>
    <t>방어 코어</t>
  </si>
  <si>
    <t>회복 코어</t>
  </si>
  <si>
    <t>위압 코어</t>
  </si>
  <si>
    <t>히어로젬의 힘을 가장 기본적인 형태로 다루는 코어. 안정적인 단일 공격을 사용할 수 있다.</t>
    <phoneticPr fontId="1" type="noConversion"/>
  </si>
  <si>
    <t>히어로젬의 힘을 넓게 확산시키는 코어. 다수의 적을 동시에 공격할 수 있다.</t>
    <phoneticPr fontId="1" type="noConversion"/>
  </si>
  <si>
    <t>히어로젬의 힘으로 보호막을 형성하는 코어. 적의 공격으로부터 아군을 지켜낸다.</t>
    <phoneticPr fontId="1" type="noConversion"/>
  </si>
  <si>
    <t>히어로젬의 힘을 치유 에너지로 변환하는 코어. 부상당한 아군을 회복시킨다.</t>
    <phoneticPr fontId="1" type="noConversion"/>
  </si>
  <si>
    <t>히어로젬의 힘으로 적의 전의를 꺾는 코어. 적 전체의 방어 능력을 약화시킨다.</t>
    <phoneticPr fontId="1" type="noConversion"/>
  </si>
  <si>
    <t>HC001</t>
    <phoneticPr fontId="1" type="noConversion"/>
  </si>
  <si>
    <t>HC002</t>
    <phoneticPr fontId="1" type="noConversion"/>
  </si>
  <si>
    <t>HC003</t>
    <phoneticPr fontId="1" type="noConversion"/>
  </si>
  <si>
    <t>HC004</t>
    <phoneticPr fontId="1" type="noConversion"/>
  </si>
  <si>
    <t>HC005</t>
    <phoneticPr fontId="1" type="noConversion"/>
  </si>
  <si>
    <t>HCS001</t>
    <phoneticPr fontId="1" type="noConversion"/>
  </si>
  <si>
    <t>HCS002</t>
    <phoneticPr fontId="1" type="noConversion"/>
  </si>
  <si>
    <t>HCS003</t>
    <phoneticPr fontId="1" type="noConversion"/>
  </si>
  <si>
    <t>HCS004</t>
    <phoneticPr fontId="1" type="noConversion"/>
  </si>
  <si>
    <t>HCS005</t>
    <phoneticPr fontId="1" type="noConversion"/>
  </si>
  <si>
    <t>젬 파워</t>
  </si>
  <si>
    <t>젬 익스플로전</t>
  </si>
  <si>
    <t>젬 실드</t>
  </si>
  <si>
    <t>젬 리커버리</t>
  </si>
  <si>
    <t>젬 프레셔</t>
  </si>
  <si>
    <t>히어로젬의 힘으로 적 1명에게 {WeaponSkillValue} 대미지를 준다.</t>
    <phoneticPr fontId="1" type="noConversion"/>
  </si>
  <si>
    <t>히어로젬의 힘을 폭발시켜 모든 적에게 {WeaponSkillValue} 대미지를 준다.</t>
    <phoneticPr fontId="1" type="noConversion"/>
  </si>
  <si>
    <t>히어로젬의 힘으로 보호막을 생성한다. 사용한 히어로가 다음 자신의 순서까지 받는 대미지가 {WeaponSkillValue} 감소한다.</t>
    <phoneticPr fontId="1" type="noConversion"/>
  </si>
  <si>
    <t>히어로젬의 힘으로 아군 1명의 체력을 {WeaponSkillValue} 회복한다.</t>
    <phoneticPr fontId="1" type="noConversion"/>
  </si>
  <si>
    <t>히어로젬의 힘으로 압박하여 모든 적의 방어력을 1턴 동안 {WeaponSkillValue} 감소시킨다.</t>
    <phoneticPr fontId="1" type="noConversion"/>
  </si>
  <si>
    <r>
      <t xml:space="preserve">무기 스킬 효과
(0 공격 1 회복 2 부활 </t>
    </r>
    <r>
      <rPr>
        <sz val="11"/>
        <color rgb="FFFF0000"/>
        <rFont val="맑은 고딕"/>
        <family val="3"/>
        <charset val="129"/>
        <scheme val="minor"/>
      </rPr>
      <t>3 버프 4 디버프</t>
    </r>
    <r>
      <rPr>
        <sz val="11"/>
        <rFont val="맑은 고딕"/>
        <family val="3"/>
        <charset val="129"/>
        <scheme val="minor"/>
      </rPr>
      <t>)</t>
    </r>
    <phoneticPr fontId="1" type="noConversion"/>
  </si>
  <si>
    <t>저스티스</t>
    <phoneticPr fontId="1" type="noConversion"/>
  </si>
  <si>
    <t>HS1010</t>
  </si>
  <si>
    <t>HS1010</t>
    <phoneticPr fontId="1" type="noConversion"/>
  </si>
  <si>
    <t>HS1020</t>
  </si>
  <si>
    <t>HS1020</t>
    <phoneticPr fontId="1" type="noConversion"/>
  </si>
  <si>
    <t>HS1030</t>
  </si>
  <si>
    <t>HS1040</t>
  </si>
  <si>
    <t>HS1011</t>
  </si>
  <si>
    <t>HS1011</t>
    <phoneticPr fontId="1" type="noConversion"/>
  </si>
  <si>
    <t>HS1021</t>
  </si>
  <si>
    <t>HS1021</t>
    <phoneticPr fontId="1" type="noConversion"/>
  </si>
  <si>
    <t>HS1031</t>
  </si>
  <si>
    <t>HS1031</t>
    <phoneticPr fontId="1" type="noConversion"/>
  </si>
  <si>
    <t>HS1041</t>
  </si>
  <si>
    <t>HS1041</t>
    <phoneticPr fontId="1" type="noConversion"/>
  </si>
  <si>
    <t>저스티스 등장!</t>
    <phoneticPr fontId="1" type="noConversion"/>
  </si>
  <si>
    <t>저스티스 등장!+</t>
    <phoneticPr fontId="1" type="noConversion"/>
  </si>
  <si>
    <t>저스티스 펀치</t>
    <phoneticPr fontId="1" type="noConversion"/>
  </si>
  <si>
    <t>저스티스 펀치+</t>
    <phoneticPr fontId="1" type="noConversion"/>
  </si>
  <si>
    <t>저스티스 대쉬</t>
    <phoneticPr fontId="1" type="noConversion"/>
  </si>
  <si>
    <t>저스티스 대쉬+</t>
    <phoneticPr fontId="1" type="noConversion"/>
  </si>
  <si>
    <t>저스티스 크래쉬</t>
    <phoneticPr fontId="1" type="noConversion"/>
  </si>
  <si>
    <t>저스티스 크래쉬+</t>
    <phoneticPr fontId="1" type="noConversion"/>
  </si>
  <si>
    <t>ReplaceSkillIndex</t>
    <phoneticPr fontId="1" type="noConversion"/>
  </si>
  <si>
    <t>R0101</t>
    <phoneticPr fontId="5" type="noConversion"/>
  </si>
  <si>
    <t>R0102</t>
    <phoneticPr fontId="5" type="noConversion"/>
  </si>
  <si>
    <t>R0103</t>
    <phoneticPr fontId="5" type="noConversion"/>
  </si>
  <si>
    <t>R0101</t>
    <phoneticPr fontId="1" type="noConversion"/>
  </si>
  <si>
    <t>R0102</t>
  </si>
  <si>
    <t>R0103</t>
  </si>
  <si>
    <t>R0102</t>
    <phoneticPr fontId="1" type="noConversion"/>
  </si>
  <si>
    <t>SkillRiskIndex</t>
    <phoneticPr fontId="1" type="noConversion"/>
  </si>
  <si>
    <t>빈틈</t>
    <phoneticPr fontId="5" type="noConversion"/>
  </si>
  <si>
    <t>자신 방어력 10% 감소</t>
    <phoneticPr fontId="5" type="noConversion"/>
  </si>
  <si>
    <t>힘 조절 실패</t>
    <phoneticPr fontId="5" type="noConversion"/>
  </si>
  <si>
    <t>이번 턴 {ClassSkillValue} 10% 감소
예시) 100% → 90%</t>
    <phoneticPr fontId="5" type="noConversion"/>
  </si>
  <si>
    <t>무리한 근성</t>
    <phoneticPr fontId="5" type="noConversion"/>
  </si>
  <si>
    <t>입힌 대미지의 10% 반동 피해</t>
    <phoneticPr fontId="5" type="noConversion"/>
  </si>
  <si>
    <t>R0201</t>
    <phoneticPr fontId="5" type="noConversion"/>
  </si>
  <si>
    <t>급발진</t>
    <phoneticPr fontId="5" type="noConversion"/>
  </si>
  <si>
    <t>대상이 2명 이상일 경우, 무작위 대상 1명에게 피해 미적용</t>
    <phoneticPr fontId="5" type="noConversion"/>
  </si>
  <si>
    <t>R0202</t>
    <phoneticPr fontId="5" type="noConversion"/>
  </si>
  <si>
    <t>자의식 과잉</t>
    <phoneticPr fontId="5" type="noConversion"/>
  </si>
  <si>
    <t>자신을 제외한 무작위 아군 1명에게 {ClassSkillValue}의 50% 대미지</t>
    <phoneticPr fontId="5" type="noConversion"/>
  </si>
  <si>
    <t>R0203</t>
    <phoneticPr fontId="5" type="noConversion"/>
  </si>
  <si>
    <t>멘탈 붕괴</t>
    <phoneticPr fontId="5" type="noConversion"/>
  </si>
  <si>
    <t>R0301</t>
    <phoneticPr fontId="5" type="noConversion"/>
  </si>
  <si>
    <t>오발</t>
    <phoneticPr fontId="5" type="noConversion"/>
  </si>
  <si>
    <t>공격 대상이 다른 랜덤 적군 한 명 변경</t>
    <phoneticPr fontId="5" type="noConversion"/>
  </si>
  <si>
    <t>R0302</t>
    <phoneticPr fontId="5" type="noConversion"/>
  </si>
  <si>
    <t>과열</t>
    <phoneticPr fontId="5" type="noConversion"/>
  </si>
  <si>
    <t>R0303</t>
    <phoneticPr fontId="5" type="noConversion"/>
  </si>
  <si>
    <t>태만</t>
    <phoneticPr fontId="5" type="noConversion"/>
  </si>
  <si>
    <t>자신이 받는 대미지 10% 증가</t>
    <phoneticPr fontId="5" type="noConversion"/>
  </si>
  <si>
    <t>서브 효과가 있는 경우, {ClassSkillSubValue} = 0</t>
    <phoneticPr fontId="5" type="noConversion"/>
  </si>
  <si>
    <t>이번 턴 {ClassSkillValue} 10% 감소, 예시) 100% → 90%</t>
    <phoneticPr fontId="5" type="noConversion"/>
  </si>
  <si>
    <t>R0401</t>
    <phoneticPr fontId="5" type="noConversion"/>
  </si>
  <si>
    <t>과한 헌신</t>
    <phoneticPr fontId="5" type="noConversion"/>
  </si>
  <si>
    <t>R0402</t>
    <phoneticPr fontId="5" type="noConversion"/>
  </si>
  <si>
    <t>무리한 기도</t>
    <phoneticPr fontId="5" type="noConversion"/>
  </si>
  <si>
    <t>R0403</t>
  </si>
  <si>
    <t>고양이 손</t>
    <phoneticPr fontId="5" type="noConversion"/>
  </si>
  <si>
    <t>공격 스킬 사용 시, 적에게 입히는 대미지가 회복으로 전환</t>
    <phoneticPr fontId="5" type="noConversion"/>
  </si>
  <si>
    <t>자신 현재 체력 최대 체력의 10% 감소 (단, 해당 효과로 인한 최소 HP = 1)</t>
    <phoneticPr fontId="5" type="noConversion"/>
  </si>
  <si>
    <t>적 1명에게 {ClassSkillValue} 대미지를 입힌다. 대상이 전열일 경우 {ClassSkillValue}+{ClassSkillSubValue} 대미지를 입힌다. (적 전열이 있을 경우, 전열 우선 공격)</t>
    <phoneticPr fontId="1" type="noConversion"/>
  </si>
  <si>
    <t>적 전열과 후열의 모든 적에게 {ClassSkillValue} 대미지를 준다. 1턴 동안 모든 적이 단일 공격 시 자신을 공격하게 한다.</t>
    <phoneticPr fontId="1" type="noConversion"/>
  </si>
  <si>
    <t>HS2010</t>
  </si>
  <si>
    <t>HS2010</t>
    <phoneticPr fontId="1" type="noConversion"/>
  </si>
  <si>
    <t>HS2020</t>
  </si>
  <si>
    <t>HS2020</t>
    <phoneticPr fontId="1" type="noConversion"/>
  </si>
  <si>
    <t>HS2030</t>
  </si>
  <si>
    <t>HS2030</t>
    <phoneticPr fontId="1" type="noConversion"/>
  </si>
  <si>
    <t>HS2040</t>
  </si>
  <si>
    <t>HS2040</t>
    <phoneticPr fontId="1" type="noConversion"/>
  </si>
  <si>
    <t>HS2011</t>
  </si>
  <si>
    <t>HS2011</t>
    <phoneticPr fontId="1" type="noConversion"/>
  </si>
  <si>
    <t>HS2021</t>
  </si>
  <si>
    <t>HS2021</t>
    <phoneticPr fontId="1" type="noConversion"/>
  </si>
  <si>
    <t>HS2031</t>
  </si>
  <si>
    <t>HS2031</t>
    <phoneticPr fontId="1" type="noConversion"/>
  </si>
  <si>
    <t>HS2041</t>
  </si>
  <si>
    <t>HS2041</t>
    <phoneticPr fontId="1" type="noConversion"/>
  </si>
  <si>
    <t>루미나</t>
    <phoneticPr fontId="1" type="noConversion"/>
  </si>
  <si>
    <t>플레어 봄</t>
    <phoneticPr fontId="1" type="noConversion"/>
  </si>
  <si>
    <t>플레어 봄+</t>
    <phoneticPr fontId="1" type="noConversion"/>
  </si>
  <si>
    <t>체인 라이팅</t>
    <phoneticPr fontId="1" type="noConversion"/>
  </si>
  <si>
    <t>체인 라이팅+</t>
    <phoneticPr fontId="1" type="noConversion"/>
  </si>
  <si>
    <t>솔라 프리즘</t>
    <phoneticPr fontId="1" type="noConversion"/>
  </si>
  <si>
    <t>솔라 프리즘+</t>
    <phoneticPr fontId="1" type="noConversion"/>
  </si>
  <si>
    <t>프리즘 익스플로전</t>
    <phoneticPr fontId="1" type="noConversion"/>
  </si>
  <si>
    <t>프리즘 익스플로전+</t>
    <phoneticPr fontId="1" type="noConversion"/>
  </si>
  <si>
    <t>전열의 적 한 명에게 {ClassSkillValue} 대미지를 입히고, 인접한 적 한 명에게 추가로 {ClassSkillSubValue} 대미지를 입힌다.</t>
  </si>
  <si>
    <t>적 한 열에 {ClassSkillValue} 대미지를 입힌다.</t>
  </si>
  <si>
    <t>적 전열과 후열의 모든 적에게 {ClassSkillValue} 대미지를 입힌다. 대상의 현재 체력이 50% 미만일 경우 {SubClassSkillSubValue} 대미지를 추가로 입힌다.</t>
  </si>
  <si>
    <t>R0202</t>
    <phoneticPr fontId="1" type="noConversion"/>
  </si>
  <si>
    <t>R0203</t>
    <phoneticPr fontId="1" type="noConversion"/>
  </si>
  <si>
    <t>R0201</t>
    <phoneticPr fontId="1" type="noConversion"/>
  </si>
  <si>
    <t>HS3010</t>
  </si>
  <si>
    <t>HS3010</t>
    <phoneticPr fontId="1" type="noConversion"/>
  </si>
  <si>
    <t>HS3020</t>
  </si>
  <si>
    <t>HS3020</t>
    <phoneticPr fontId="1" type="noConversion"/>
  </si>
  <si>
    <t>HS3030</t>
  </si>
  <si>
    <t>HS3030</t>
    <phoneticPr fontId="1" type="noConversion"/>
  </si>
  <si>
    <t>HS3040</t>
  </si>
  <si>
    <t>HS3040</t>
    <phoneticPr fontId="1" type="noConversion"/>
  </si>
  <si>
    <t>HS3011</t>
  </si>
  <si>
    <t>HS3011</t>
    <phoneticPr fontId="1" type="noConversion"/>
  </si>
  <si>
    <t>HS3021</t>
  </si>
  <si>
    <t>HS3021</t>
    <phoneticPr fontId="1" type="noConversion"/>
  </si>
  <si>
    <t>HS3031</t>
  </si>
  <si>
    <t>HS3031</t>
    <phoneticPr fontId="1" type="noConversion"/>
  </si>
  <si>
    <t>HS3041</t>
  </si>
  <si>
    <t>HS3041</t>
    <phoneticPr fontId="1" type="noConversion"/>
  </si>
  <si>
    <t>블랙 불릿</t>
    <phoneticPr fontId="1" type="noConversion"/>
  </si>
  <si>
    <t>R0303</t>
    <phoneticPr fontId="1" type="noConversion"/>
  </si>
  <si>
    <t>R0301</t>
    <phoneticPr fontId="1" type="noConversion"/>
  </si>
  <si>
    <t>R0302</t>
    <phoneticPr fontId="1" type="noConversion"/>
  </si>
  <si>
    <t>블랙 데빌 퍼펙트 에임 샷</t>
    <phoneticPr fontId="1" type="noConversion"/>
  </si>
  <si>
    <t>프론트 라인 브레이크 불릿</t>
    <phoneticPr fontId="1" type="noConversion"/>
  </si>
  <si>
    <t>트윈 트리거 더블 버스트</t>
    <phoneticPr fontId="1" type="noConversion"/>
  </si>
  <si>
    <t>데드엔드 라스트 트리거</t>
    <phoneticPr fontId="1" type="noConversion"/>
  </si>
  <si>
    <t>블랙 데빌 퍼펙트 에임 샷+</t>
    <phoneticPr fontId="1" type="noConversion"/>
  </si>
  <si>
    <t>프론트 라인 브레이크 불릿+</t>
    <phoneticPr fontId="1" type="noConversion"/>
  </si>
  <si>
    <t>트윈 트리거 더블 버스트+</t>
    <phoneticPr fontId="1" type="noConversion"/>
  </si>
  <si>
    <t>데드엔드 라스트 트리거+</t>
    <phoneticPr fontId="1" type="noConversion"/>
  </si>
  <si>
    <t>적 1명에게 {ClassSkillValue} 대미지를 입힌다. 전열의 적을 공격 시, {ClassSkillValue}+{ClassSkillSubValue}대미지로 계산한다.</t>
    <phoneticPr fontId="1" type="noConversion"/>
  </si>
  <si>
    <t>적의 체력이 낮을 수록 높은 대미지를 입힌다. (기본 100% + 적의 최대 체력 대비 현재 체력 10%가 낮아질 때마다 {ClassSkillSubValue} 추가)</t>
    <phoneticPr fontId="1" type="noConversion"/>
  </si>
  <si>
    <t>HS4010</t>
  </si>
  <si>
    <t>HS4010</t>
    <phoneticPr fontId="1" type="noConversion"/>
  </si>
  <si>
    <t>HS4020</t>
  </si>
  <si>
    <t>HS4020</t>
    <phoneticPr fontId="1" type="noConversion"/>
  </si>
  <si>
    <t>HS4030</t>
  </si>
  <si>
    <t>HS4030</t>
    <phoneticPr fontId="1" type="noConversion"/>
  </si>
  <si>
    <t>HS4040</t>
  </si>
  <si>
    <t>HS4040</t>
    <phoneticPr fontId="1" type="noConversion"/>
  </si>
  <si>
    <t>HS4011</t>
  </si>
  <si>
    <t>HS4011</t>
    <phoneticPr fontId="1" type="noConversion"/>
  </si>
  <si>
    <t>HS4021</t>
  </si>
  <si>
    <t>HS4021</t>
    <phoneticPr fontId="1" type="noConversion"/>
  </si>
  <si>
    <t>HS4031</t>
  </si>
  <si>
    <t>HS4031</t>
    <phoneticPr fontId="1" type="noConversion"/>
  </si>
  <si>
    <t>HS4041</t>
  </si>
  <si>
    <t>HS4041</t>
    <phoneticPr fontId="1" type="noConversion"/>
  </si>
  <si>
    <t>R0401</t>
    <phoneticPr fontId="1" type="noConversion"/>
  </si>
  <si>
    <t>R0403</t>
    <phoneticPr fontId="1" type="noConversion"/>
  </si>
  <si>
    <t>R0402</t>
    <phoneticPr fontId="1" type="noConversion"/>
  </si>
  <si>
    <t>네코밍</t>
    <phoneticPr fontId="1" type="noConversion"/>
  </si>
  <si>
    <t>아픈 거 다 날아가라</t>
  </si>
  <si>
    <t>널 위해 준비했어</t>
  </si>
  <si>
    <t>우리 다 같이 힘내자</t>
  </si>
  <si>
    <t>쓰러지면 안 돼</t>
  </si>
  <si>
    <t>아픈 거 다 날아가라+</t>
  </si>
  <si>
    <t>널 위해 준비했어+</t>
  </si>
  <si>
    <t>우리 다 같이 힘내자+</t>
  </si>
  <si>
    <t>쓰러지면 안 돼+</t>
  </si>
  <si>
    <t>아군 1명 체력을 네코밍 최대 체력의 {ClassSkillValue} 회복</t>
    <phoneticPr fontId="1" type="noConversion"/>
  </si>
  <si>
    <t>적 1명에게 {ClassSkillValue}대미지를 입힌다. 입힌 대미지 만큼 랜덤 아군 1명의 체력을 회복한다</t>
    <phoneticPr fontId="1" type="noConversion"/>
  </si>
  <si>
    <t>아군 1명의 체력을 네코밍 최대 체력의 {ClassSkillValue} 회복하고, 인접한 아군 1명의 체력을 자신 최대 체력의 {ClassSkillSubValue} 추가 회복한다.</t>
    <phoneticPr fontId="1" type="noConversion"/>
  </si>
  <si>
    <t>리타이어한 아군 1명을 해당 아군 최대 체력의 {ClassSkillSubValue}로 부활시킨 후, 적 전체에 {ClassSkillValue} 대미지를 입힌다.
단, 부활 효과는 전투당 1회만 적용되며, 이후 사용 시에는 적 전체 대미지만 적용된다.</t>
    <phoneticPr fontId="1" type="noConversion"/>
  </si>
  <si>
    <t>{1,3,5,7}</t>
    <phoneticPr fontId="1" type="noConversion"/>
  </si>
  <si>
    <t>콘텐츠 확정 및 추가 필요 열 기입
1) EnemyUnit (필드 빌런)
 (1) 필드 빌런 종류 5종
   - maestrobot (마에스트로봇) / rifleman (빌런연합 소총수) / shielder (빌런연합 방패병) / tower (무인 중포탑) / monster (괴수, 콘셉트 변경 예정)
 (2) 레벨 스케일용 성장치
   - LevelGrowthMaxHP, LevelGrowthAtk, LevelGrowthDef (레벨별 최대 체력 / 공격력 / 방어력 성장치)
 (3) 거점 보스는 기믹 확정 후 별도 시트 사용 예정
2) EnemyGroup (빌런 파티)
 (1) EnemyGroupName (UI 표시용 에너미 그룹명) / (2) MinLevel (최소 레벨) / (3) MaxLevel (최대 레벨)
 (최종 레벨은 플레이어가 신규 구역 진입 시, 최소 ~ 최대 레벨 범위 내에 레벨 스케일링 시스템에 따라 결정)
3) ClassSkill (히어로 스킬)
 (1) 저스티스 스킬 4종 / 루미나 스킬 4종 / 블랫불릿 스킬 4종 / 네코밍 스킬 4종
 (2) ReplaceSkillIndex (5-8레벨 기존 스킬이 강화 스킬로 대체)
 (3) SkillRiskIndex (스킬 리스크, 캐릭터당 3종)
4) PlayerWeapon (코어 &amp; 협회 스킬)
 (1) Class 열 삭제 (코어는 클래스별 공용) / (2) 코어 스킬 개편</t>
    <phoneticPr fontId="1" type="noConversion"/>
  </si>
  <si>
    <t>마에스트로봇</t>
    <phoneticPr fontId="1" type="noConversion"/>
  </si>
  <si>
    <t>FV20001</t>
    <phoneticPr fontId="1" type="noConversion"/>
  </si>
  <si>
    <t>FV20002</t>
    <phoneticPr fontId="1" type="noConversion"/>
  </si>
  <si>
    <t>FV20003</t>
    <phoneticPr fontId="1" type="noConversion"/>
  </si>
  <si>
    <t>FV20004</t>
  </si>
  <si>
    <t>빌런연합 소총수</t>
    <phoneticPr fontId="1" type="noConversion"/>
  </si>
  <si>
    <t>빌런연합 방패병</t>
    <phoneticPr fontId="1" type="noConversion"/>
  </si>
  <si>
    <t>무인 중포탑</t>
    <phoneticPr fontId="1" type="noConversion"/>
  </si>
  <si>
    <t>프로파간다용 드론</t>
    <phoneticPr fontId="1" type="noConversion"/>
  </si>
  <si>
    <t>아군 보호형 탱커</t>
    <phoneticPr fontId="1" type="noConversion"/>
  </si>
  <si>
    <t>고정형 한방 딜러</t>
    <phoneticPr fontId="1" type="noConversion"/>
  </si>
  <si>
    <t>대형 체급 압박형 빌런</t>
    <phoneticPr fontId="1" type="noConversion"/>
  </si>
  <si>
    <t>경험치 성장치</t>
    <phoneticPr fontId="1" type="noConversion"/>
  </si>
  <si>
    <t>LevelGrowthExperiencePoint</t>
    <phoneticPr fontId="1" type="noConversion"/>
  </si>
  <si>
    <t>LevelGrowthAtk</t>
    <phoneticPr fontId="1" type="noConversion"/>
  </si>
  <si>
    <t>LevelGrowthDef</t>
    <phoneticPr fontId="1" type="noConversion"/>
  </si>
  <si>
    <t>원거리 사격</t>
    <phoneticPr fontId="1" type="noConversion"/>
  </si>
  <si>
    <t>대신 맞기</t>
    <phoneticPr fontId="1" type="noConversion"/>
  </si>
  <si>
    <t>충전 포격</t>
    <phoneticPr fontId="1" type="noConversion"/>
  </si>
  <si>
    <t>타깃 지정</t>
    <phoneticPr fontId="1" type="noConversion"/>
  </si>
  <si>
    <t>자폭</t>
    <phoneticPr fontId="1" type="noConversion"/>
  </si>
  <si>
    <t>방패 치기</t>
    <phoneticPr fontId="1" type="noConversion"/>
  </si>
  <si>
    <t>가장 가까운 히어로 1명을 표적으로 지정</t>
    <phoneticPr fontId="1" type="noConversion"/>
  </si>
  <si>
    <t>적군 스킬 1 효과
(0 공격 1 회복 2 부활 3 버프 4 디버프)</t>
    <phoneticPr fontId="1" type="noConversion"/>
  </si>
  <si>
    <t>EnemySkill2SubValue</t>
    <phoneticPr fontId="1" type="noConversion"/>
  </si>
  <si>
    <t>EnemySkill1SubValue</t>
    <phoneticPr fontId="1" type="noConversion"/>
  </si>
  <si>
    <t>타깃 유닛을 향해 전진 후 자폭
타깃 유닛에게 {EnemySkill2Value}
타깃 인접 유닛에게 {EnemySkill2SubValue}를 준 뒤 자신의 체력 0 처리</t>
    <phoneticPr fontId="1" type="noConversion"/>
  </si>
  <si>
    <t>상대 전열 또는 후열 단일 유닛에게 {EnemySkill1Value} 만큼 대미지</t>
    <phoneticPr fontId="1" type="noConversion"/>
  </si>
  <si>
    <t>상대 전열 우선 단일 유닛에게 {EnemySkill1Value} 만큼 대미지</t>
    <phoneticPr fontId="1" type="noConversion"/>
  </si>
  <si>
    <t>다음 자신의 차례까지 아군 유닛을 공격하는 플레이어의 단일 공격을 1회 막기 (대상 위치로 이동해 피해를 대신 받고 원래 위치로 복귀)
(단, 자신을 공격하는 단일 공격이나 광역 피해는 막기 대상으로 취급하지 않음)</t>
    <phoneticPr fontId="1" type="noConversion"/>
  </si>
  <si>
    <t>(1턴) 가장 가까운 히어로 1명을 표적으로 지정 (가장 가까운 유닛이 둘 이상일 경우 대상은 랜덤)
(2턴) 해당 유닛에게 '자폭' 실행 - 대미지 계산 후 마에스트로봇 전장 제거</t>
    <phoneticPr fontId="1" type="noConversion"/>
  </si>
  <si>
    <t>(매 턴) '원거리 사격' 실행
우선 순위
1. 같은 행에 있는 히어로를 우선 표적으로 삼는다.
2. 같은 행 표적이 여럿이면 현재 체력이 낮은 히어로를 선택한다.
3. 같은 행에 표적이 없으면 가장 가까운 히어로를 사격한다. (가장 가까운 유닛이 둘 이상일 경우 대상은 랜덤)</t>
    <phoneticPr fontId="1" type="noConversion"/>
  </si>
  <si>
    <t>(매 턴) 
- 아군 유닛 중, 체력 30% 미만 유닛이 1명 이상 있는 경우, '대신 맞기' 실행
- 아닌 경우 가장 가까운 유닛에게 '방패 치기' 실행</t>
    <phoneticPr fontId="1" type="noConversion"/>
  </si>
  <si>
    <t>(매 턴) 랜덤 히어로 1명을 대상으로 '충전 포격' 실행</t>
    <phoneticPr fontId="1" type="noConversion"/>
  </si>
  <si>
    <t>히어로 유닛 1체에 {EnemySkill2Value} 만큼 대미지를 주고, 해당 행에 후열에 있는 히어로에게 {EnemySkill2SubValue}를 준다.</t>
    <phoneticPr fontId="1" type="noConversion"/>
  </si>
  <si>
    <t>{7}</t>
    <phoneticPr fontId="1" type="noConversion"/>
  </si>
  <si>
    <t>(매 턴)
- 같은 행에 히어로가 없는 경우, '발톱 후리기' 실행
- 같은 행에 히어로가 1명 있는 경우, '발톱 후리기' 실행
- 같은 행에 히어로가 2명 있는 경우, '박치기' 실행</t>
    <phoneticPr fontId="1" type="noConversion"/>
  </si>
  <si>
    <t>(1턴) 히어로 1명 또는 해당 타일을 지정하고 피해 범위 표시
(2턴) 해당 유닛에게 {EnemySkill1Value} 만큼 대미지
(2턴이 오기 전, 무인 중포탑이 대미지를 받을 시, 스킬 취소 → 2턴째 다시 충전 시작)</t>
    <phoneticPr fontId="1" type="noConversion"/>
  </si>
  <si>
    <t>Character3StudySkill</t>
    <phoneticPr fontId="1" type="noConversion"/>
  </si>
  <si>
    <t>Character4StudySkill</t>
    <phoneticPr fontId="1" type="noConversion"/>
  </si>
  <si>
    <t>Character1StudySkill</t>
    <phoneticPr fontId="1" type="noConversion"/>
  </si>
  <si>
    <t>Character2StudySkill</t>
    <phoneticPr fontId="1" type="noConversion"/>
  </si>
  <si>
    <t>캐릭터1 (저스티스)
배우는 스킬</t>
    <phoneticPr fontId="1" type="noConversion"/>
  </si>
  <si>
    <t>캐릭터2 (루미나)
배우는 스킬</t>
    <phoneticPr fontId="1" type="noConversion"/>
  </si>
  <si>
    <t>캐릭터3 (블랙 불릿)
배우는 스킬</t>
    <phoneticPr fontId="1" type="noConversion"/>
  </si>
  <si>
    <t>캐릭터4 (네코밍)
배우는 스킬</t>
    <phoneticPr fontId="1" type="noConversion"/>
  </si>
  <si>
    <t>{HS1010,HS1020,HS1030,HS1040,HS1011,HS1021,HS1031,HS1041}</t>
    <phoneticPr fontId="1" type="noConversion"/>
  </si>
  <si>
    <t>{HC001,HC002,HC003,HC004,HC005}</t>
    <phoneticPr fontId="1" type="noConversion"/>
  </si>
  <si>
    <t>{HS2010,HS2020,HS2030,HS2040,HS2011,HS2021,HS2031,HS2041}</t>
    <phoneticPr fontId="1" type="noConversion"/>
  </si>
  <si>
    <t>{HS3010,HS3020,HS3030,HS3040,HS3011,HS3021,HS3031,HS3041}</t>
    <phoneticPr fontId="1" type="noConversion"/>
  </si>
  <si>
    <t>{HS4010,HS4020,HS4030,HS4040,HS4011,HS4021,HS4031,HS4041}</t>
    <phoneticPr fontId="1" type="noConversion"/>
  </si>
  <si>
    <t>list&lt;string&gt;</t>
    <phoneticPr fontId="1" type="noConversion"/>
  </si>
  <si>
    <t>index 등 형태 int → string 변환</t>
    <phoneticPr fontId="1" type="noConversion"/>
  </si>
  <si>
    <t/>
  </si>
  <si>
    <t>강타</t>
  </si>
  <si>
    <t>관통</t>
  </si>
  <si>
    <t>Enemy6</t>
    <phoneticPr fontId="1" type="noConversion"/>
  </si>
  <si>
    <t>UMT001</t>
    <phoneticPr fontId="1" type="noConversion"/>
  </si>
  <si>
    <t>UMT002</t>
    <phoneticPr fontId="1" type="noConversion"/>
  </si>
  <si>
    <t>UMT003</t>
    <phoneticPr fontId="1" type="noConversion"/>
  </si>
  <si>
    <t>FV20005</t>
    <phoneticPr fontId="1" type="noConversion"/>
  </si>
  <si>
    <t>빌런연합 강화병</t>
    <phoneticPr fontId="1" type="noConversion"/>
  </si>
  <si>
    <t>FV20003</t>
  </si>
  <si>
    <t>FV20003</t>
    <phoneticPr fontId="1" type="noConversion"/>
  </si>
  <si>
    <t>FV20002</t>
    <phoneticPr fontId="1" type="noConversion"/>
  </si>
  <si>
    <t>빌런연합 소총병</t>
    <phoneticPr fontId="1" type="noConversion"/>
  </si>
  <si>
    <t>흔한 원거리 병졸</t>
    <phoneticPr fontId="1" type="noConversion"/>
  </si>
  <si>
    <t>Enemy6Slot</t>
    <phoneticPr fontId="5" type="noConversion"/>
  </si>
  <si>
    <t>FEP001</t>
    <phoneticPr fontId="1" type="noConversion"/>
  </si>
  <si>
    <t>FV20001</t>
  </si>
  <si>
    <t>FV20001</t>
    <phoneticPr fontId="1" type="noConversion"/>
  </si>
  <si>
    <t>빌런연합 조무래기</t>
    <phoneticPr fontId="1" type="noConversion"/>
  </si>
  <si>
    <t>빌런연합 소대</t>
    <phoneticPr fontId="1" type="noConversion"/>
  </si>
  <si>
    <t>빌런연합 포탑병</t>
    <phoneticPr fontId="1" type="noConversion"/>
  </si>
  <si>
    <t>빌런연합 드론부대</t>
    <phoneticPr fontId="1" type="noConversion"/>
  </si>
  <si>
    <t>빌런연합 UMT</t>
    <phoneticPr fontId="1" type="noConversion"/>
  </si>
  <si>
    <t>빌런연합 정예 포탑</t>
    <phoneticPr fontId="1" type="noConversion"/>
  </si>
  <si>
    <t>FEP002</t>
    <phoneticPr fontId="1" type="noConversion"/>
  </si>
  <si>
    <t>FV20004</t>
    <phoneticPr fontId="1" type="noConversion"/>
  </si>
  <si>
    <t>FEP009S4</t>
    <phoneticPr fontId="1" type="noConversion"/>
  </si>
  <si>
    <t>FEP007S4</t>
    <phoneticPr fontId="1" type="noConversion"/>
  </si>
  <si>
    <t>FEP006S4</t>
    <phoneticPr fontId="1" type="noConversion"/>
  </si>
  <si>
    <t>FEP005S4</t>
    <phoneticPr fontId="1" type="noConversion"/>
  </si>
  <si>
    <t>FEP004S4</t>
    <phoneticPr fontId="1" type="noConversion"/>
  </si>
  <si>
    <t>FEP006S3</t>
    <phoneticPr fontId="1" type="noConversion"/>
  </si>
  <si>
    <t>FEP006S1</t>
    <phoneticPr fontId="1" type="noConversion"/>
  </si>
  <si>
    <t>FEP006S2</t>
    <phoneticPr fontId="1" type="noConversion"/>
  </si>
  <si>
    <t>FEP005S1</t>
    <phoneticPr fontId="1" type="noConversion"/>
  </si>
  <si>
    <t>FEP005S2</t>
    <phoneticPr fontId="1" type="noConversion"/>
  </si>
  <si>
    <t>FEP005S3</t>
    <phoneticPr fontId="1" type="noConversion"/>
  </si>
  <si>
    <t>FEP004S1</t>
    <phoneticPr fontId="1" type="noConversion"/>
  </si>
  <si>
    <t>FEP004S2</t>
    <phoneticPr fontId="1" type="noConversion"/>
  </si>
  <si>
    <t>FEP004S3</t>
    <phoneticPr fontId="1" type="noConversion"/>
  </si>
  <si>
    <t>FEP007S2</t>
    <phoneticPr fontId="1" type="noConversion"/>
  </si>
  <si>
    <t>FEP007S3</t>
    <phoneticPr fontId="1" type="noConversion"/>
  </si>
  <si>
    <t>FEP008S2</t>
    <phoneticPr fontId="1" type="noConversion"/>
  </si>
  <si>
    <t>FEP008S3</t>
    <phoneticPr fontId="1" type="noConversion"/>
  </si>
  <si>
    <t>FEP009S2</t>
    <phoneticPr fontId="1" type="noConversion"/>
  </si>
  <si>
    <t>FEP009S3</t>
    <phoneticPr fontId="1" type="noConversion"/>
  </si>
  <si>
    <t>FEP010S2</t>
    <phoneticPr fontId="1" type="noConversion"/>
  </si>
  <si>
    <t>FEP010S3</t>
    <phoneticPr fontId="1" type="noConversion"/>
  </si>
  <si>
    <t>FEP011S3</t>
    <phoneticPr fontId="1" type="noConversion"/>
  </si>
  <si>
    <t>FEP011S4</t>
    <phoneticPr fontId="1" type="noConversion"/>
  </si>
  <si>
    <t>대체 스킬</t>
    <phoneticPr fontId="1" type="noConversion"/>
  </si>
  <si>
    <t>리스크(보류)</t>
    <phoneticPr fontId="1" type="noConversion"/>
  </si>
  <si>
    <t>자폭 잡몹</t>
    <phoneticPr fontId="1" type="noConversion"/>
  </si>
  <si>
    <t>소총수</t>
    <phoneticPr fontId="1" type="noConversion"/>
  </si>
  <si>
    <t>일반 원거리 적</t>
    <phoneticPr fontId="1" type="noConversion"/>
  </si>
  <si>
    <t>방패병</t>
    <phoneticPr fontId="1" type="noConversion"/>
  </si>
  <si>
    <t>일반 근접 적</t>
    <phoneticPr fontId="1" type="noConversion"/>
  </si>
  <si>
    <t>차지형 중급 원거리</t>
    <phoneticPr fontId="1" type="noConversion"/>
  </si>
  <si>
    <t>강화병</t>
    <phoneticPr fontId="1" type="noConversion"/>
  </si>
  <si>
    <t>이동형 상급 근접</t>
    <phoneticPr fontId="1" type="noConversion"/>
  </si>
  <si>
    <t>빌런연합 강화병</t>
    <phoneticPr fontId="1" type="noConversion"/>
  </si>
  <si>
    <t>알파 밸런스
1) UnitGrowthExp: 성장 경험치 조정
2) 빌런연합 강화병 등 일부 유닛 스테이터스 + 전체 유닛 성장치조정
3) EnemyGroup 에너미 그룹 추가
4) ClassSkill 리스크 시스템 보류에 따른 스킬 계수 조정</t>
    <phoneticPr fontId="1" type="noConversion"/>
  </si>
  <si>
    <t>FEP003</t>
    <phoneticPr fontId="1" type="noConversion"/>
  </si>
  <si>
    <t>FEP003-1</t>
    <phoneticPr fontId="1" type="noConversion"/>
  </si>
  <si>
    <t>FEP003-2</t>
    <phoneticPr fontId="1" type="noConversion"/>
  </si>
  <si>
    <t>유닛 그룹 추가 (이벤트 전투 테이블과 연동)</t>
    <phoneticPr fontId="1" type="noConversion"/>
  </si>
  <si>
    <t>V3.0</t>
    <phoneticPr fontId="1" type="noConversion"/>
  </si>
  <si>
    <t>강현재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</si>
</sst>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\/dd"/>
    <numFmt numFmtId="177" formatCode="0.##%"/>
    <numFmt numFmtId="178" formatCode="0.0%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6" fillId="0" borderId="0"/>
  </cellStyleXfs>
  <cellXfs count="57">
    <xf numFmtId="0" fontId="0" fillId="0" borderId="0" xfId="0">
      <alignment vertical="center"/>
    </xf>
    <xf numFmtId="0" fontId="0" fillId="0" borderId="0" xfId="0" applyFill="1">
      <alignment vertical="center"/>
    </xf>
    <xf numFmtId="9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3" fontId="0" fillId="0" borderId="0" xfId="0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center" vertical="center" wrapText="1"/>
    </xf>
    <xf numFmtId="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0" fontId="6" fillId="0" borderId="0" xfId="2"/>
    <xf numFmtId="0" fontId="6" fillId="0" borderId="1" xfId="2" applyBorder="1"/>
    <xf numFmtId="0" fontId="2" fillId="0" borderId="1" xfId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1" applyFont="1">
      <alignment vertical="center"/>
    </xf>
    <xf numFmtId="0" fontId="0" fillId="0" borderId="0" xfId="1" applyFont="1" applyAlignment="1">
      <alignment vertical="center" wrapText="1"/>
    </xf>
    <xf numFmtId="0" fontId="0" fillId="2" borderId="0" xfId="1" applyFont="1" applyFill="1">
      <alignment vertical="center"/>
    </xf>
    <xf numFmtId="0" fontId="2" fillId="2" borderId="0" xfId="1" applyFill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9" fontId="0" fillId="2" borderId="0" xfId="0" applyNumberFormat="1" applyFont="1" applyFill="1">
      <alignment vertical="center"/>
    </xf>
    <xf numFmtId="0" fontId="0" fillId="2" borderId="0" xfId="0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>
      <alignment vertical="center"/>
    </xf>
    <xf numFmtId="0" fontId="2" fillId="0" borderId="0" xfId="1">
      <alignment vertical="center"/>
    </xf>
    <xf numFmtId="177" fontId="0" fillId="0" borderId="0" xfId="0" applyNumberFormat="1" applyAlignment="1"/>
    <xf numFmtId="0" fontId="0" fillId="0" borderId="0" xfId="1" applyFont="1" applyFill="1">
      <alignment vertical="center"/>
    </xf>
    <xf numFmtId="0" fontId="2" fillId="0" borderId="0" xfId="1" applyFill="1">
      <alignment vertical="center"/>
    </xf>
    <xf numFmtId="178" fontId="0" fillId="2" borderId="0" xfId="0" applyNumberFormat="1" applyFont="1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/>
    <xf numFmtId="0" fontId="0" fillId="3" borderId="0" xfId="1" applyFont="1" applyFill="1">
      <alignment vertical="center"/>
    </xf>
    <xf numFmtId="3" fontId="4" fillId="0" borderId="0" xfId="0" applyNumberFormat="1" applyFont="1" applyFill="1" applyBorder="1" applyAlignment="1">
      <alignment horizontal="left" vertical="center" wrapText="1"/>
    </xf>
    <xf numFmtId="9" fontId="4" fillId="0" borderId="0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>
      <alignment vertical="center"/>
    </xf>
    <xf numFmtId="0" fontId="2" fillId="0" borderId="0" xfId="1">
      <alignment vertical="center"/>
    </xf>
  </cellXfs>
  <cellStyles count="3">
    <cellStyle name="표준" xfId="0" builtinId="0"/>
    <cellStyle name="표준 2" xfId="1" xr:uid="{00000000-0005-0000-0000-000001000000}"/>
    <cellStyle name="표준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36</xdr:row>
      <xdr:rowOff>1</xdr:rowOff>
    </xdr:from>
    <xdr:to>
      <xdr:col>11</xdr:col>
      <xdr:colOff>1168978</xdr:colOff>
      <xdr:row>45</xdr:row>
      <xdr:rowOff>182461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47AD658-6F5D-4706-9262-8DB703ED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85964" y="11787189"/>
          <a:ext cx="12484677" cy="211127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12</xdr:col>
      <xdr:colOff>8658</xdr:colOff>
      <xdr:row>56</xdr:row>
      <xdr:rowOff>165669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8BC6FE-7F32-480A-B8AE-51E7835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5963" y="14144625"/>
          <a:ext cx="12510220" cy="209448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58</xdr:row>
      <xdr:rowOff>0</xdr:rowOff>
    </xdr:from>
    <xdr:to>
      <xdr:col>12</xdr:col>
      <xdr:colOff>89213</xdr:colOff>
      <xdr:row>68</xdr:row>
      <xdr:rowOff>23812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EA67DDD-694F-4F9E-803B-5DAF00149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5964" y="16502063"/>
          <a:ext cx="12590774" cy="216693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1</xdr:rowOff>
    </xdr:from>
    <xdr:to>
      <xdr:col>12</xdr:col>
      <xdr:colOff>35719</xdr:colOff>
      <xdr:row>35</xdr:row>
      <xdr:rowOff>11870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6CDA3F3E-9745-4E59-8C34-B324C4BA1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5963" y="9429751"/>
          <a:ext cx="12537281" cy="215499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14</xdr:row>
      <xdr:rowOff>0</xdr:rowOff>
    </xdr:from>
    <xdr:to>
      <xdr:col>12</xdr:col>
      <xdr:colOff>75384</xdr:colOff>
      <xdr:row>23</xdr:row>
      <xdr:rowOff>207817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5D9079-2EB1-41F5-8CBD-FBDE7F8FE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5964" y="7072313"/>
          <a:ext cx="12576945" cy="2136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555912</xdr:colOff>
      <xdr:row>46</xdr:row>
      <xdr:rowOff>0</xdr:rowOff>
    </xdr:from>
    <xdr:to>
      <xdr:col>14</xdr:col>
      <xdr:colOff>341745</xdr:colOff>
      <xdr:row>53</xdr:row>
      <xdr:rowOff>24247</xdr:rowOff>
    </xdr:to>
    <xdr:sp macro="" textlink="">
      <xdr:nvSpPr>
        <xdr:cNvPr id="2" name="화살표: 오른쪽 1">
          <a:extLst>
            <a:ext uri="{FF2B5EF4-FFF2-40B4-BE49-F238E27FC236}">
              <a16:creationId xmlns:a16="http://schemas.microsoft.com/office/drawing/2014/main" id="{AC5688A3-B511-4A35-BD33-D660E1266870}"/>
            </a:ext>
          </a:extLst>
        </xdr:cNvPr>
        <xdr:cNvSpPr/>
      </xdr:nvSpPr>
      <xdr:spPr>
        <a:xfrm>
          <a:off x="2543462" y="9715500"/>
          <a:ext cx="9317183" cy="1535547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539751</xdr:colOff>
      <xdr:row>49</xdr:row>
      <xdr:rowOff>114302</xdr:rowOff>
    </xdr:from>
    <xdr:to>
      <xdr:col>8</xdr:col>
      <xdr:colOff>460664</xdr:colOff>
      <xdr:row>93</xdr:row>
      <xdr:rowOff>38101</xdr:rowOff>
    </xdr:to>
    <xdr:sp macro="" textlink="">
      <xdr:nvSpPr>
        <xdr:cNvPr id="3" name="화살표: 위쪽 2">
          <a:extLst>
            <a:ext uri="{FF2B5EF4-FFF2-40B4-BE49-F238E27FC236}">
              <a16:creationId xmlns:a16="http://schemas.microsoft.com/office/drawing/2014/main" id="{E4ABF97E-AE41-43AC-923F-4278EE0A15EE}"/>
            </a:ext>
          </a:extLst>
        </xdr:cNvPr>
        <xdr:cNvSpPr/>
      </xdr:nvSpPr>
      <xdr:spPr>
        <a:xfrm>
          <a:off x="5969001" y="10477502"/>
          <a:ext cx="1552863" cy="9423399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499919</xdr:colOff>
      <xdr:row>90</xdr:row>
      <xdr:rowOff>132774</xdr:rowOff>
    </xdr:from>
    <xdr:to>
      <xdr:col>2</xdr:col>
      <xdr:colOff>386195</xdr:colOff>
      <xdr:row>95</xdr:row>
      <xdr:rowOff>161637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225EC5A-E33E-4208-92A7-152D998BF7C9}"/>
            </a:ext>
          </a:extLst>
        </xdr:cNvPr>
        <xdr:cNvSpPr/>
      </xdr:nvSpPr>
      <xdr:spPr>
        <a:xfrm>
          <a:off x="1300019" y="19347874"/>
          <a:ext cx="1073726" cy="1108363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="1"/>
            <a:t>협회</a:t>
          </a:r>
        </a:p>
      </xdr:txBody>
    </xdr:sp>
    <xdr:clientData/>
  </xdr:twoCellAnchor>
  <xdr:twoCellAnchor>
    <xdr:from>
      <xdr:col>2</xdr:col>
      <xdr:colOff>663285</xdr:colOff>
      <xdr:row>89</xdr:row>
      <xdr:rowOff>83128</xdr:rowOff>
    </xdr:from>
    <xdr:to>
      <xdr:col>14</xdr:col>
      <xdr:colOff>449118</xdr:colOff>
      <xdr:row>96</xdr:row>
      <xdr:rowOff>101602</xdr:rowOff>
    </xdr:to>
    <xdr:sp macro="" textlink="">
      <xdr:nvSpPr>
        <xdr:cNvPr id="5" name="화살표: 오른쪽 4">
          <a:extLst>
            <a:ext uri="{FF2B5EF4-FFF2-40B4-BE49-F238E27FC236}">
              <a16:creationId xmlns:a16="http://schemas.microsoft.com/office/drawing/2014/main" id="{193352A9-A57A-494F-AEAD-B3DABB174151}"/>
            </a:ext>
          </a:extLst>
        </xdr:cNvPr>
        <xdr:cNvSpPr/>
      </xdr:nvSpPr>
      <xdr:spPr>
        <a:xfrm>
          <a:off x="2650835" y="19082328"/>
          <a:ext cx="9317183" cy="1529774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159328</xdr:colOff>
      <xdr:row>54</xdr:row>
      <xdr:rowOff>50801</xdr:rowOff>
    </xdr:from>
    <xdr:to>
      <xdr:col>2</xdr:col>
      <xdr:colOff>524741</xdr:colOff>
      <xdr:row>90</xdr:row>
      <xdr:rowOff>23092</xdr:rowOff>
    </xdr:to>
    <xdr:sp macro="" textlink="">
      <xdr:nvSpPr>
        <xdr:cNvPr id="6" name="화살표: 위쪽 5">
          <a:extLst>
            <a:ext uri="{FF2B5EF4-FFF2-40B4-BE49-F238E27FC236}">
              <a16:creationId xmlns:a16="http://schemas.microsoft.com/office/drawing/2014/main" id="{30AAB326-AAC4-44EA-85A5-4BBD163F5C0C}"/>
            </a:ext>
          </a:extLst>
        </xdr:cNvPr>
        <xdr:cNvSpPr/>
      </xdr:nvSpPr>
      <xdr:spPr>
        <a:xfrm>
          <a:off x="959428" y="11493501"/>
          <a:ext cx="1552863" cy="7744691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673676</xdr:colOff>
      <xdr:row>67</xdr:row>
      <xdr:rowOff>23091</xdr:rowOff>
    </xdr:from>
    <xdr:to>
      <xdr:col>14</xdr:col>
      <xdr:colOff>459509</xdr:colOff>
      <xdr:row>74</xdr:row>
      <xdr:rowOff>41563</xdr:rowOff>
    </xdr:to>
    <xdr:sp macro="" textlink="">
      <xdr:nvSpPr>
        <xdr:cNvPr id="7" name="화살표: 오른쪽 6">
          <a:extLst>
            <a:ext uri="{FF2B5EF4-FFF2-40B4-BE49-F238E27FC236}">
              <a16:creationId xmlns:a16="http://schemas.microsoft.com/office/drawing/2014/main" id="{09B6E911-4F2F-487A-8980-AC6F7859065A}"/>
            </a:ext>
          </a:extLst>
        </xdr:cNvPr>
        <xdr:cNvSpPr/>
      </xdr:nvSpPr>
      <xdr:spPr>
        <a:xfrm>
          <a:off x="2661226" y="14272491"/>
          <a:ext cx="9317183" cy="1529772"/>
        </a:xfrm>
        <a:prstGeom prst="right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428337</xdr:colOff>
      <xdr:row>51</xdr:row>
      <xdr:rowOff>193964</xdr:rowOff>
    </xdr:from>
    <xdr:to>
      <xdr:col>15</xdr:col>
      <xdr:colOff>1168400</xdr:colOff>
      <xdr:row>94</xdr:row>
      <xdr:rowOff>73893</xdr:rowOff>
    </xdr:to>
    <xdr:sp macro="" textlink="">
      <xdr:nvSpPr>
        <xdr:cNvPr id="8" name="화살표: 위쪽 7">
          <a:extLst>
            <a:ext uri="{FF2B5EF4-FFF2-40B4-BE49-F238E27FC236}">
              <a16:creationId xmlns:a16="http://schemas.microsoft.com/office/drawing/2014/main" id="{62F4D98A-1CAA-4FC8-AC6A-BA7B299FAC81}"/>
            </a:ext>
          </a:extLst>
        </xdr:cNvPr>
        <xdr:cNvSpPr/>
      </xdr:nvSpPr>
      <xdr:spPr>
        <a:xfrm>
          <a:off x="11947237" y="10988964"/>
          <a:ext cx="1552863" cy="9163629"/>
        </a:xfrm>
        <a:prstGeom prst="upArrow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97642</xdr:colOff>
      <xdr:row>52</xdr:row>
      <xdr:rowOff>136071</xdr:rowOff>
    </xdr:from>
    <xdr:to>
      <xdr:col>12</xdr:col>
      <xdr:colOff>444500</xdr:colOff>
      <xdr:row>59</xdr:row>
      <xdr:rowOff>155038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48E0A5A-22CB-4FAA-A88B-8FD7EB6583A9}"/>
            </a:ext>
          </a:extLst>
        </xdr:cNvPr>
        <xdr:cNvSpPr/>
      </xdr:nvSpPr>
      <xdr:spPr>
        <a:xfrm>
          <a:off x="8642928" y="11239500"/>
          <a:ext cx="1834572" cy="1542967"/>
        </a:xfrm>
        <a:prstGeom prst="rect">
          <a:avLst/>
        </a:prstGeom>
        <a:solidFill>
          <a:srgbClr val="C00000"/>
        </a:solidFill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800" b="1"/>
            <a:t>거점</a:t>
          </a:r>
          <a:endParaRPr lang="en-US" altLang="ko-KR" sz="2800" b="1"/>
        </a:p>
        <a:p>
          <a:pPr algn="ctr"/>
          <a:r>
            <a:rPr lang="en-US" altLang="ko-KR" sz="2800" b="1"/>
            <a:t>BE002-004</a:t>
          </a:r>
          <a:endParaRPr lang="ko-KR" altLang="en-US" sz="2800" b="1"/>
        </a:p>
      </xdr:txBody>
    </xdr:sp>
    <xdr:clientData/>
  </xdr:twoCellAnchor>
  <xdr:twoCellAnchor>
    <xdr:from>
      <xdr:col>1</xdr:col>
      <xdr:colOff>114795</xdr:colOff>
      <xdr:row>66</xdr:row>
      <xdr:rowOff>85109</xdr:rowOff>
    </xdr:from>
    <xdr:to>
      <xdr:col>2</xdr:col>
      <xdr:colOff>563337</xdr:colOff>
      <xdr:row>74</xdr:row>
      <xdr:rowOff>45854</xdr:rowOff>
    </xdr:to>
    <xdr:sp macro="" textlink="">
      <xdr:nvSpPr>
        <xdr:cNvPr id="10" name="타원 9">
          <a:extLst>
            <a:ext uri="{FF2B5EF4-FFF2-40B4-BE49-F238E27FC236}">
              <a16:creationId xmlns:a16="http://schemas.microsoft.com/office/drawing/2014/main" id="{1B86EDF0-AB0F-49DA-AFB8-2639EA132344}"/>
            </a:ext>
          </a:extLst>
        </xdr:cNvPr>
        <xdr:cNvSpPr/>
      </xdr:nvSpPr>
      <xdr:spPr>
        <a:xfrm>
          <a:off x="913081" y="14236538"/>
          <a:ext cx="1636899" cy="1702459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1-1</a:t>
          </a:r>
        </a:p>
        <a:p>
          <a:pPr algn="ctr"/>
          <a:r>
            <a:rPr lang="en-US" altLang="ko-KR" sz="2000" b="1"/>
            <a:t>FEP001</a:t>
          </a:r>
        </a:p>
        <a:p>
          <a:pPr algn="ctr"/>
          <a:r>
            <a:rPr lang="en-US" altLang="ko-KR" sz="20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BE005</a:t>
          </a:r>
          <a:endParaRPr lang="en-US" altLang="ko-KR" sz="2000" b="1"/>
        </a:p>
      </xdr:txBody>
    </xdr:sp>
    <xdr:clientData/>
  </xdr:twoCellAnchor>
  <xdr:twoCellAnchor>
    <xdr:from>
      <xdr:col>6</xdr:col>
      <xdr:colOff>664442</xdr:colOff>
      <xdr:row>89</xdr:row>
      <xdr:rowOff>27710</xdr:rowOff>
    </xdr:from>
    <xdr:to>
      <xdr:col>8</xdr:col>
      <xdr:colOff>668484</xdr:colOff>
      <xdr:row>96</xdr:row>
      <xdr:rowOff>198584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67C35C25-3E0C-4EAD-96E5-8018D8E17695}"/>
            </a:ext>
          </a:extLst>
        </xdr:cNvPr>
        <xdr:cNvSpPr/>
      </xdr:nvSpPr>
      <xdr:spPr>
        <a:xfrm>
          <a:off x="6093692" y="19026910"/>
          <a:ext cx="1635992" cy="1682174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1-2</a:t>
          </a:r>
        </a:p>
        <a:p>
          <a:pPr algn="ctr"/>
          <a:r>
            <a:rPr lang="en-US" altLang="ko-KR" sz="2000" b="1"/>
            <a:t>FEP002</a:t>
          </a:r>
        </a:p>
        <a:p>
          <a:pPr algn="ctr"/>
          <a:r>
            <a:rPr lang="en-US" altLang="ko-KR" sz="2000" b="1"/>
            <a:t>BE006</a:t>
          </a:r>
          <a:endParaRPr lang="ko-KR" altLang="en-US" sz="2000" b="1"/>
        </a:p>
      </xdr:txBody>
    </xdr:sp>
    <xdr:clientData/>
  </xdr:twoCellAnchor>
  <xdr:twoCellAnchor>
    <xdr:from>
      <xdr:col>1</xdr:col>
      <xdr:colOff>0</xdr:colOff>
      <xdr:row>46</xdr:row>
      <xdr:rowOff>40412</xdr:rowOff>
    </xdr:from>
    <xdr:to>
      <xdr:col>2</xdr:col>
      <xdr:colOff>448542</xdr:colOff>
      <xdr:row>53</xdr:row>
      <xdr:rowOff>211285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12A6775-3A3B-44E5-B0DA-6C81B3902EE0}"/>
            </a:ext>
          </a:extLst>
        </xdr:cNvPr>
        <xdr:cNvSpPr/>
      </xdr:nvSpPr>
      <xdr:spPr>
        <a:xfrm>
          <a:off x="800100" y="9755912"/>
          <a:ext cx="1635992" cy="1682173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2-1</a:t>
          </a:r>
        </a:p>
        <a:p>
          <a:pPr algn="ctr"/>
          <a:r>
            <a:rPr lang="en-US" altLang="ko-KR" sz="1800" b="1"/>
            <a:t>FEP004S1</a:t>
          </a:r>
        </a:p>
        <a:p>
          <a:pPr algn="ctr"/>
          <a:r>
            <a:rPr lang="en-US" altLang="ko-KR" sz="1800" b="1"/>
            <a:t>BE121</a:t>
          </a:r>
          <a:endParaRPr lang="ko-KR" altLang="en-US" sz="1800" b="1"/>
        </a:p>
      </xdr:txBody>
    </xdr:sp>
    <xdr:clientData/>
  </xdr:twoCellAnchor>
  <xdr:twoCellAnchor>
    <xdr:from>
      <xdr:col>6</xdr:col>
      <xdr:colOff>487796</xdr:colOff>
      <xdr:row>66</xdr:row>
      <xdr:rowOff>25403</xdr:rowOff>
    </xdr:from>
    <xdr:to>
      <xdr:col>8</xdr:col>
      <xdr:colOff>491838</xdr:colOff>
      <xdr:row>73</xdr:row>
      <xdr:rowOff>202048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59BF6524-687E-4053-B020-F89C60E38B7E}"/>
            </a:ext>
          </a:extLst>
        </xdr:cNvPr>
        <xdr:cNvSpPr/>
      </xdr:nvSpPr>
      <xdr:spPr>
        <a:xfrm>
          <a:off x="5917046" y="14058903"/>
          <a:ext cx="1635992" cy="1687945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2-2</a:t>
          </a:r>
        </a:p>
        <a:p>
          <a:pPr algn="ctr"/>
          <a:r>
            <a:rPr lang="en-US" altLang="ko-KR" sz="1800" b="1"/>
            <a:t>FEP005S1BE122</a:t>
          </a:r>
        </a:p>
      </xdr:txBody>
    </xdr:sp>
    <xdr:clientData/>
  </xdr:twoCellAnchor>
  <xdr:twoCellAnchor>
    <xdr:from>
      <xdr:col>14</xdr:col>
      <xdr:colOff>386773</xdr:colOff>
      <xdr:row>88</xdr:row>
      <xdr:rowOff>178957</xdr:rowOff>
    </xdr:from>
    <xdr:to>
      <xdr:col>16</xdr:col>
      <xdr:colOff>22515</xdr:colOff>
      <xdr:row>96</xdr:row>
      <xdr:rowOff>139703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C58FCEAE-B2DD-4A30-BE2F-14461CAE3E4B}"/>
            </a:ext>
          </a:extLst>
        </xdr:cNvPr>
        <xdr:cNvSpPr/>
      </xdr:nvSpPr>
      <xdr:spPr>
        <a:xfrm>
          <a:off x="11905673" y="18962257"/>
          <a:ext cx="1635992" cy="1687946"/>
        </a:xfrm>
        <a:prstGeom prst="ellipse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메인 </a:t>
          </a:r>
          <a:r>
            <a:rPr lang="en-US" altLang="ko-KR" sz="2000" b="1"/>
            <a:t>2-3</a:t>
          </a:r>
        </a:p>
        <a:p>
          <a:pPr algn="ctr"/>
          <a:r>
            <a:rPr lang="en-US" altLang="ko-KR" sz="1800" b="1"/>
            <a:t>FEP006S1</a:t>
          </a:r>
        </a:p>
        <a:p>
          <a:pPr algn="ctr"/>
          <a:r>
            <a:rPr lang="en-US" altLang="ko-KR" sz="1800" b="1"/>
            <a:t>BE123</a:t>
          </a:r>
          <a:endParaRPr lang="ko-KR" altLang="en-US" sz="2000" b="1"/>
        </a:p>
      </xdr:txBody>
    </xdr:sp>
    <xdr:clientData/>
  </xdr:twoCellAnchor>
  <xdr:twoCellAnchor>
    <xdr:from>
      <xdr:col>3</xdr:col>
      <xdr:colOff>385288</xdr:colOff>
      <xdr:row>79</xdr:row>
      <xdr:rowOff>54101</xdr:rowOff>
    </xdr:from>
    <xdr:to>
      <xdr:col>5</xdr:col>
      <xdr:colOff>292678</xdr:colOff>
      <xdr:row>85</xdr:row>
      <xdr:rowOff>168484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DA04444-D359-471D-82DD-606C8E386B97}"/>
            </a:ext>
          </a:extLst>
        </xdr:cNvPr>
        <xdr:cNvSpPr/>
      </xdr:nvSpPr>
      <xdr:spPr>
        <a:xfrm>
          <a:off x="3655538" y="16894301"/>
          <a:ext cx="1393290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서브 </a:t>
          </a:r>
          <a:r>
            <a:rPr lang="en-US" altLang="ko-KR" sz="2000" b="1"/>
            <a:t>2-1</a:t>
          </a:r>
        </a:p>
        <a:p>
          <a:pPr algn="ctr"/>
          <a:r>
            <a:rPr lang="en-US" altLang="ko-KR" sz="2000" b="1"/>
            <a:t>FEP003-1</a:t>
          </a:r>
        </a:p>
        <a:p>
          <a:pPr algn="ctr"/>
          <a:r>
            <a:rPr lang="en-US" altLang="ko-KR" sz="2000" b="1"/>
            <a:t>BE159</a:t>
          </a:r>
          <a:endParaRPr lang="ko-KR" altLang="en-US" sz="2000" b="1"/>
        </a:p>
      </xdr:txBody>
    </xdr:sp>
    <xdr:clientData/>
  </xdr:twoCellAnchor>
  <xdr:twoCellAnchor>
    <xdr:from>
      <xdr:col>3</xdr:col>
      <xdr:colOff>469653</xdr:colOff>
      <xdr:row>57</xdr:row>
      <xdr:rowOff>153392</xdr:rowOff>
    </xdr:from>
    <xdr:to>
      <xdr:col>5</xdr:col>
      <xdr:colOff>377043</xdr:colOff>
      <xdr:row>64</xdr:row>
      <xdr:rowOff>51875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10011A10-E918-4293-AB9D-D79CB0C11108}"/>
            </a:ext>
          </a:extLst>
        </xdr:cNvPr>
        <xdr:cNvSpPr/>
      </xdr:nvSpPr>
      <xdr:spPr>
        <a:xfrm>
          <a:off x="3739903" y="12243792"/>
          <a:ext cx="1393290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서브 </a:t>
          </a:r>
          <a:r>
            <a:rPr lang="en-US" altLang="ko-KR" sz="2000" b="1"/>
            <a:t>2-2</a:t>
          </a:r>
        </a:p>
        <a:p>
          <a:pPr algn="ctr"/>
          <a:r>
            <a:rPr lang="en-US" altLang="ko-KR" sz="2000" b="1"/>
            <a:t>FEP003-2</a:t>
          </a:r>
        </a:p>
        <a:p>
          <a:pPr algn="ctr"/>
          <a:r>
            <a:rPr lang="en-US" altLang="ko-KR" sz="2000" b="1"/>
            <a:t>BE160</a:t>
          </a:r>
        </a:p>
      </xdr:txBody>
    </xdr:sp>
    <xdr:clientData/>
  </xdr:twoCellAnchor>
  <xdr:twoCellAnchor>
    <xdr:from>
      <xdr:col>10</xdr:col>
      <xdr:colOff>620404</xdr:colOff>
      <xdr:row>79</xdr:row>
      <xdr:rowOff>111251</xdr:rowOff>
    </xdr:from>
    <xdr:to>
      <xdr:col>12</xdr:col>
      <xdr:colOff>527793</xdr:colOff>
      <xdr:row>86</xdr:row>
      <xdr:rowOff>9734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208CECA-9907-4DEF-9250-355DE0D2C8BF}"/>
            </a:ext>
          </a:extLst>
        </xdr:cNvPr>
        <xdr:cNvSpPr/>
      </xdr:nvSpPr>
      <xdr:spPr>
        <a:xfrm>
          <a:off x="9167504" y="16951451"/>
          <a:ext cx="1393289" cy="1409783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2000" b="1"/>
            <a:t>서브</a:t>
          </a:r>
          <a:r>
            <a:rPr lang="en-US" altLang="ko-KR" sz="2000" b="1"/>
            <a:t>1</a:t>
          </a:r>
        </a:p>
        <a:p>
          <a:pPr algn="ctr"/>
          <a:r>
            <a:rPr lang="en-US" altLang="ko-KR" sz="2000" b="1"/>
            <a:t>FEP003</a:t>
          </a:r>
        </a:p>
        <a:p>
          <a:pPr algn="ctr"/>
          <a:r>
            <a:rPr lang="en-US" altLang="ko-KR" sz="2000" b="1"/>
            <a:t>BE158</a:t>
          </a:r>
          <a:endParaRPr lang="ko-KR" altLang="en-US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70340-B386-46F7-B380-7E3B46561623}">
  <dimension ref="A2:D7"/>
  <sheetViews>
    <sheetView tabSelected="1" workbookViewId="0"/>
  </sheetViews>
  <sheetFormatPr defaultRowHeight="17" x14ac:dyDescent="0.45"/>
  <cols>
    <col min="2" max="2" width="9.25" bestFit="1" customWidth="1"/>
    <col min="3" max="3" width="122.83203125" customWidth="1"/>
  </cols>
  <sheetData>
    <row r="2" spans="1:4" x14ac:dyDescent="0.45">
      <c r="C2" t="s">
        <v>277</v>
      </c>
    </row>
    <row r="3" spans="1:4" x14ac:dyDescent="0.45">
      <c r="B3" s="38">
        <v>46196</v>
      </c>
      <c r="C3" t="s">
        <v>276</v>
      </c>
    </row>
    <row r="4" spans="1:4" ht="323" x14ac:dyDescent="0.45">
      <c r="B4" s="38">
        <v>46209</v>
      </c>
      <c r="C4" s="26" t="s">
        <v>480</v>
      </c>
    </row>
    <row r="5" spans="1:4" x14ac:dyDescent="0.45">
      <c r="B5" s="38">
        <v>46213</v>
      </c>
      <c r="C5" t="s">
        <v>533</v>
      </c>
    </row>
    <row r="6" spans="1:4" ht="85" x14ac:dyDescent="0.45">
      <c r="B6" s="38">
        <v>46218</v>
      </c>
      <c r="C6" s="26" t="s">
        <v>595</v>
      </c>
    </row>
    <row r="7" spans="1:4" x14ac:dyDescent="0.45">
      <c r="A7" t="s">
        <v>600</v>
      </c>
      <c r="B7" s="38">
        <v>46232</v>
      </c>
      <c r="C7" s="26" t="s">
        <v>599</v>
      </c>
      <c r="D7" t="s">
        <v>601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93A4-1273-423C-B589-7C2465F14193}">
  <dimension ref="A1:Q22"/>
  <sheetViews>
    <sheetView zoomScaleNormal="100" workbookViewId="0"/>
  </sheetViews>
  <sheetFormatPr defaultColWidth="9" defaultRowHeight="17" x14ac:dyDescent="0.45"/>
  <cols>
    <col min="1" max="1" width="10.5" style="11" bestFit="1" customWidth="1"/>
    <col min="2" max="4" width="15.58203125" style="11" customWidth="1"/>
    <col min="5" max="5" width="33.4140625" style="11" bestFit="1" customWidth="1"/>
    <col min="6" max="12" width="15.58203125" style="11" customWidth="1"/>
    <col min="13" max="13" width="37.75" style="11" bestFit="1" customWidth="1"/>
    <col min="14" max="14" width="32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62" width="15.58203125" style="11" customWidth="1"/>
    <col min="63" max="16384" width="9" style="11"/>
  </cols>
  <sheetData>
    <row r="1" spans="1:17" x14ac:dyDescent="0.45">
      <c r="A1" s="11" t="s">
        <v>181</v>
      </c>
    </row>
    <row r="2" spans="1:17" x14ac:dyDescent="0.45">
      <c r="B2" s="53" t="s">
        <v>217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4" spans="1:17" x14ac:dyDescent="0.45">
      <c r="A4" s="7" t="s">
        <v>182</v>
      </c>
      <c r="B4" s="7" t="s">
        <v>18</v>
      </c>
      <c r="C4" s="7" t="s">
        <v>19</v>
      </c>
      <c r="D4" s="7" t="s">
        <v>19</v>
      </c>
      <c r="E4" s="7" t="s">
        <v>19</v>
      </c>
      <c r="F4" s="7" t="s">
        <v>18</v>
      </c>
      <c r="G4" s="7" t="s">
        <v>18</v>
      </c>
      <c r="H4" s="7" t="s">
        <v>18</v>
      </c>
      <c r="I4" s="7" t="s">
        <v>183</v>
      </c>
      <c r="J4" s="7" t="s">
        <v>183</v>
      </c>
      <c r="K4" s="7" t="s">
        <v>183</v>
      </c>
      <c r="L4" s="7" t="s">
        <v>18</v>
      </c>
      <c r="M4" s="7" t="s">
        <v>532</v>
      </c>
      <c r="N4" s="7" t="s">
        <v>532</v>
      </c>
      <c r="O4" s="7" t="s">
        <v>18</v>
      </c>
      <c r="P4" s="7" t="s">
        <v>18</v>
      </c>
      <c r="Q4" s="7" t="s">
        <v>18</v>
      </c>
    </row>
    <row r="5" spans="1:17" x14ac:dyDescent="0.45">
      <c r="A5" s="7" t="s">
        <v>184</v>
      </c>
      <c r="B5" s="13" t="s">
        <v>28</v>
      </c>
      <c r="C5" s="13" t="s">
        <v>180</v>
      </c>
      <c r="D5" s="13" t="s">
        <v>26</v>
      </c>
      <c r="E5" s="13" t="s">
        <v>27</v>
      </c>
      <c r="F5" s="13" t="s">
        <v>112</v>
      </c>
      <c r="G5" s="13" t="s">
        <v>111</v>
      </c>
      <c r="H5" s="13" t="s">
        <v>110</v>
      </c>
      <c r="I5" s="13" t="s">
        <v>1</v>
      </c>
      <c r="J5" s="13" t="s">
        <v>4</v>
      </c>
      <c r="K5" s="13" t="s">
        <v>36</v>
      </c>
      <c r="L5" s="13" t="s">
        <v>2</v>
      </c>
      <c r="M5" s="14" t="s">
        <v>34</v>
      </c>
      <c r="N5" s="14" t="s">
        <v>35</v>
      </c>
      <c r="O5" s="15" t="s">
        <v>133</v>
      </c>
      <c r="P5" s="15" t="s">
        <v>134</v>
      </c>
      <c r="Q5" s="15" t="s">
        <v>135</v>
      </c>
    </row>
    <row r="6" spans="1:17" ht="34" x14ac:dyDescent="0.45">
      <c r="A6" s="7" t="s">
        <v>185</v>
      </c>
      <c r="B6" s="8">
        <v>10001</v>
      </c>
      <c r="C6" s="8" t="s">
        <v>253</v>
      </c>
      <c r="D6" s="8" t="s">
        <v>128</v>
      </c>
      <c r="E6" s="8" t="s">
        <v>254</v>
      </c>
      <c r="F6" s="8">
        <v>6</v>
      </c>
      <c r="G6" s="8">
        <v>9</v>
      </c>
      <c r="H6" s="8">
        <v>5</v>
      </c>
      <c r="I6" s="16">
        <v>0.15</v>
      </c>
      <c r="J6" s="16">
        <v>0.15</v>
      </c>
      <c r="K6" s="16">
        <v>0.15</v>
      </c>
      <c r="L6" s="13">
        <v>1</v>
      </c>
      <c r="M6" s="51" t="s">
        <v>527</v>
      </c>
      <c r="N6" s="13" t="s">
        <v>528</v>
      </c>
      <c r="O6" s="17">
        <v>4</v>
      </c>
      <c r="P6" s="17">
        <v>4</v>
      </c>
      <c r="Q6" s="17">
        <v>2</v>
      </c>
    </row>
    <row r="7" spans="1:17" ht="34" x14ac:dyDescent="0.45">
      <c r="A7" s="7"/>
      <c r="B7" s="8">
        <v>10002</v>
      </c>
      <c r="C7" s="8" t="s">
        <v>255</v>
      </c>
      <c r="D7" s="8" t="s">
        <v>125</v>
      </c>
      <c r="E7" s="8" t="s">
        <v>256</v>
      </c>
      <c r="F7" s="8">
        <v>4</v>
      </c>
      <c r="G7" s="8">
        <v>12</v>
      </c>
      <c r="H7" s="8">
        <v>4</v>
      </c>
      <c r="I7" s="16">
        <v>0.3</v>
      </c>
      <c r="J7" s="16">
        <v>0.1</v>
      </c>
      <c r="K7" s="16">
        <v>0.2</v>
      </c>
      <c r="L7" s="13">
        <v>3</v>
      </c>
      <c r="M7" s="51" t="s">
        <v>529</v>
      </c>
      <c r="N7" s="13" t="s">
        <v>528</v>
      </c>
      <c r="O7" s="17">
        <v>4</v>
      </c>
      <c r="P7" s="17">
        <v>4</v>
      </c>
      <c r="Q7" s="17">
        <v>2</v>
      </c>
    </row>
    <row r="8" spans="1:17" ht="34" x14ac:dyDescent="0.45">
      <c r="A8" s="7"/>
      <c r="B8" s="8">
        <v>10003</v>
      </c>
      <c r="C8" s="8" t="s">
        <v>257</v>
      </c>
      <c r="D8" s="8" t="s">
        <v>126</v>
      </c>
      <c r="E8" s="8" t="s">
        <v>258</v>
      </c>
      <c r="F8" s="8">
        <v>6</v>
      </c>
      <c r="G8" s="8">
        <v>12</v>
      </c>
      <c r="H8" s="8">
        <v>2</v>
      </c>
      <c r="I8" s="16">
        <v>0.2</v>
      </c>
      <c r="J8" s="16">
        <v>0.05</v>
      </c>
      <c r="K8" s="16">
        <v>0.1</v>
      </c>
      <c r="L8" s="13">
        <v>2</v>
      </c>
      <c r="M8" s="51" t="s">
        <v>530</v>
      </c>
      <c r="N8" s="13" t="s">
        <v>528</v>
      </c>
      <c r="O8" s="17">
        <v>2</v>
      </c>
      <c r="P8" s="17">
        <v>6</v>
      </c>
      <c r="Q8" s="17">
        <v>2</v>
      </c>
    </row>
    <row r="9" spans="1:17" ht="34" x14ac:dyDescent="0.45">
      <c r="A9" s="7"/>
      <c r="B9" s="8">
        <v>10004</v>
      </c>
      <c r="C9" s="8" t="s">
        <v>259</v>
      </c>
      <c r="D9" s="8" t="s">
        <v>127</v>
      </c>
      <c r="E9" s="8" t="s">
        <v>260</v>
      </c>
      <c r="F9" s="8">
        <v>6</v>
      </c>
      <c r="G9" s="8">
        <v>8</v>
      </c>
      <c r="H9" s="8">
        <v>6</v>
      </c>
      <c r="I9" s="16">
        <v>0.1</v>
      </c>
      <c r="J9" s="16">
        <v>0.1</v>
      </c>
      <c r="K9" s="16">
        <v>0.15</v>
      </c>
      <c r="L9" s="13">
        <v>2</v>
      </c>
      <c r="M9" s="51" t="s">
        <v>531</v>
      </c>
      <c r="N9" s="13" t="s">
        <v>528</v>
      </c>
      <c r="O9" s="17">
        <v>5</v>
      </c>
      <c r="P9" s="17">
        <v>4</v>
      </c>
      <c r="Q9" s="17">
        <v>1</v>
      </c>
    </row>
    <row r="10" spans="1:17" x14ac:dyDescent="0.45">
      <c r="B10" s="1"/>
      <c r="C10" s="1"/>
      <c r="D10" s="1"/>
      <c r="E10" s="1"/>
      <c r="F10" s="1"/>
      <c r="G10" s="1"/>
      <c r="H10" s="2"/>
      <c r="I10" s="1"/>
      <c r="J10" s="1"/>
      <c r="K10" s="1"/>
      <c r="L10" s="1"/>
      <c r="M10" s="1"/>
      <c r="N10" s="1"/>
    </row>
    <row r="11" spans="1:17" x14ac:dyDescent="0.45">
      <c r="A11" s="11" t="s">
        <v>186</v>
      </c>
      <c r="B11" s="1" t="s">
        <v>187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7" ht="34" x14ac:dyDescent="0.45">
      <c r="A12" s="11" t="s">
        <v>181</v>
      </c>
      <c r="B12" s="3" t="s">
        <v>188</v>
      </c>
      <c r="C12" s="4" t="s">
        <v>261</v>
      </c>
      <c r="D12" s="4" t="s">
        <v>189</v>
      </c>
      <c r="E12" s="5" t="s">
        <v>190</v>
      </c>
      <c r="F12" s="1" t="s">
        <v>99</v>
      </c>
      <c r="G12" s="1" t="s">
        <v>100</v>
      </c>
      <c r="H12" s="1" t="s">
        <v>101</v>
      </c>
      <c r="I12" s="1" t="s">
        <v>191</v>
      </c>
      <c r="J12" s="1" t="s">
        <v>193</v>
      </c>
      <c r="K12" s="1" t="s">
        <v>192</v>
      </c>
      <c r="L12" s="1" t="s">
        <v>194</v>
      </c>
      <c r="M12" s="6" t="s">
        <v>195</v>
      </c>
      <c r="N12" s="6" t="s">
        <v>196</v>
      </c>
      <c r="O12" s="1" t="s">
        <v>197</v>
      </c>
      <c r="P12" s="1" t="s">
        <v>198</v>
      </c>
      <c r="Q12" s="1" t="s">
        <v>199</v>
      </c>
    </row>
    <row r="13" spans="1:17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7" x14ac:dyDescent="0.4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7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7" x14ac:dyDescent="0.4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x14ac:dyDescent="0.4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x14ac:dyDescent="0.4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x14ac:dyDescent="0.4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x14ac:dyDescent="0.4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x14ac:dyDescent="0.4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x14ac:dyDescent="0.4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32"/>
  <sheetViews>
    <sheetView zoomScaleNormal="100" workbookViewId="0"/>
  </sheetViews>
  <sheetFormatPr defaultRowHeight="17" x14ac:dyDescent="0.45"/>
  <cols>
    <col min="1" max="1" width="10.5" style="11" bestFit="1" customWidth="1"/>
    <col min="2" max="3" width="15.58203125" style="11" customWidth="1"/>
    <col min="4" max="4" width="24.08203125" style="11" bestFit="1" customWidth="1"/>
    <col min="5" max="5" width="13" style="11" bestFit="1" customWidth="1"/>
    <col min="6" max="6" width="18.08203125" style="11" bestFit="1" customWidth="1"/>
    <col min="7" max="7" width="18.33203125" style="11" bestFit="1" customWidth="1"/>
    <col min="8" max="8" width="20.33203125" style="11" bestFit="1" customWidth="1"/>
    <col min="9" max="9" width="18.08203125" style="11" bestFit="1" customWidth="1"/>
    <col min="10" max="10" width="15.58203125" style="11" customWidth="1"/>
    <col min="11" max="11" width="37.75" style="11" bestFit="1" customWidth="1"/>
    <col min="12" max="12" width="56.9140625" style="11" bestFit="1" customWidth="1"/>
    <col min="13" max="13" width="25" style="11" customWidth="1"/>
    <col min="14" max="14" width="24.58203125" style="11" customWidth="1"/>
    <col min="15" max="15" width="24.33203125" style="11" customWidth="1"/>
    <col min="16" max="60" width="15.58203125" style="11" customWidth="1"/>
  </cols>
  <sheetData>
    <row r="1" spans="1:14" x14ac:dyDescent="0.45">
      <c r="A1" s="11" t="s">
        <v>181</v>
      </c>
    </row>
    <row r="2" spans="1:14" x14ac:dyDescent="0.45">
      <c r="B2" s="55" t="s">
        <v>217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4" spans="1:14" x14ac:dyDescent="0.45">
      <c r="A4" s="11" t="s">
        <v>182</v>
      </c>
      <c r="B4" s="11" t="s">
        <v>18</v>
      </c>
      <c r="C4" s="11" t="s">
        <v>19</v>
      </c>
      <c r="D4" s="32" t="s">
        <v>18</v>
      </c>
      <c r="E4" s="11" t="s">
        <v>18</v>
      </c>
      <c r="F4" s="50" t="s">
        <v>19</v>
      </c>
      <c r="G4" s="50" t="s">
        <v>19</v>
      </c>
      <c r="H4" s="50" t="s">
        <v>19</v>
      </c>
      <c r="I4" s="50" t="s">
        <v>19</v>
      </c>
    </row>
    <row r="5" spans="1:14" x14ac:dyDescent="0.45">
      <c r="A5" s="11" t="s">
        <v>184</v>
      </c>
      <c r="B5" s="11" t="s">
        <v>249</v>
      </c>
      <c r="C5" s="11" t="s">
        <v>250</v>
      </c>
      <c r="D5" s="32" t="s">
        <v>251</v>
      </c>
      <c r="E5" s="11" t="s">
        <v>252</v>
      </c>
      <c r="F5" s="50" t="s">
        <v>521</v>
      </c>
      <c r="G5" s="50" t="s">
        <v>522</v>
      </c>
      <c r="H5" s="50" t="s">
        <v>519</v>
      </c>
      <c r="I5" s="50" t="s">
        <v>520</v>
      </c>
    </row>
    <row r="6" spans="1:14" x14ac:dyDescent="0.45">
      <c r="A6" s="11" t="s">
        <v>185</v>
      </c>
      <c r="B6" s="11">
        <v>1</v>
      </c>
      <c r="C6" s="11" t="s">
        <v>108</v>
      </c>
      <c r="D6" s="32">
        <v>0</v>
      </c>
      <c r="E6" s="11">
        <v>0</v>
      </c>
      <c r="F6" s="45" t="s">
        <v>321</v>
      </c>
      <c r="G6" s="45" t="s">
        <v>386</v>
      </c>
      <c r="H6" s="45" t="s">
        <v>417</v>
      </c>
      <c r="I6" s="45" t="s">
        <v>447</v>
      </c>
    </row>
    <row r="7" spans="1:14" x14ac:dyDescent="0.45">
      <c r="B7" s="11">
        <v>2</v>
      </c>
      <c r="C7" s="11" t="s">
        <v>107</v>
      </c>
      <c r="D7" s="32">
        <v>60</v>
      </c>
      <c r="E7" s="11">
        <v>10</v>
      </c>
      <c r="F7" s="45" t="s">
        <v>323</v>
      </c>
      <c r="G7" s="45" t="s">
        <v>388</v>
      </c>
      <c r="H7" s="45" t="s">
        <v>419</v>
      </c>
      <c r="I7" s="45" t="s">
        <v>449</v>
      </c>
    </row>
    <row r="8" spans="1:14" x14ac:dyDescent="0.45">
      <c r="B8" s="11">
        <v>3</v>
      </c>
      <c r="C8" s="11" t="s">
        <v>106</v>
      </c>
      <c r="D8" s="32">
        <v>130</v>
      </c>
      <c r="E8" s="11">
        <v>10</v>
      </c>
      <c r="F8" s="45" t="s">
        <v>325</v>
      </c>
      <c r="G8" s="45" t="s">
        <v>390</v>
      </c>
      <c r="H8" s="45" t="s">
        <v>421</v>
      </c>
      <c r="I8" s="45" t="s">
        <v>451</v>
      </c>
    </row>
    <row r="9" spans="1:14" x14ac:dyDescent="0.45">
      <c r="B9" s="11">
        <v>4</v>
      </c>
      <c r="C9" s="11" t="s">
        <v>105</v>
      </c>
      <c r="D9" s="32">
        <v>230</v>
      </c>
      <c r="E9" s="11">
        <v>10</v>
      </c>
      <c r="F9" s="45" t="s">
        <v>326</v>
      </c>
      <c r="G9" s="45" t="s">
        <v>392</v>
      </c>
      <c r="H9" s="45" t="s">
        <v>423</v>
      </c>
      <c r="I9" s="45" t="s">
        <v>453</v>
      </c>
    </row>
    <row r="10" spans="1:14" x14ac:dyDescent="0.45">
      <c r="B10" s="11">
        <v>5</v>
      </c>
      <c r="C10" s="11" t="s">
        <v>104</v>
      </c>
      <c r="D10" s="32">
        <v>350</v>
      </c>
      <c r="E10" s="11">
        <v>10</v>
      </c>
      <c r="F10" s="45" t="s">
        <v>327</v>
      </c>
      <c r="G10" s="45" t="s">
        <v>394</v>
      </c>
      <c r="H10" s="45" t="s">
        <v>425</v>
      </c>
      <c r="I10" s="45" t="s">
        <v>455</v>
      </c>
    </row>
    <row r="11" spans="1:14" x14ac:dyDescent="0.45">
      <c r="B11" s="11">
        <v>6</v>
      </c>
      <c r="C11" s="11" t="s">
        <v>103</v>
      </c>
      <c r="D11" s="32">
        <v>490</v>
      </c>
      <c r="E11" s="11">
        <v>10</v>
      </c>
      <c r="F11" s="45" t="s">
        <v>329</v>
      </c>
      <c r="G11" s="45" t="s">
        <v>396</v>
      </c>
      <c r="H11" s="45" t="s">
        <v>427</v>
      </c>
      <c r="I11" s="45" t="s">
        <v>457</v>
      </c>
    </row>
    <row r="12" spans="1:14" x14ac:dyDescent="0.45">
      <c r="B12" s="11">
        <v>7</v>
      </c>
      <c r="C12" s="11" t="s">
        <v>262</v>
      </c>
      <c r="D12" s="32">
        <v>690</v>
      </c>
      <c r="E12" s="11">
        <v>10</v>
      </c>
      <c r="F12" s="45" t="s">
        <v>331</v>
      </c>
      <c r="G12" s="45" t="s">
        <v>398</v>
      </c>
      <c r="H12" s="45" t="s">
        <v>429</v>
      </c>
      <c r="I12" s="45" t="s">
        <v>459</v>
      </c>
    </row>
    <row r="13" spans="1:14" x14ac:dyDescent="0.45">
      <c r="B13" s="11">
        <v>8</v>
      </c>
      <c r="C13" s="11" t="s">
        <v>263</v>
      </c>
      <c r="D13" s="32">
        <v>880</v>
      </c>
      <c r="E13" s="11">
        <v>20</v>
      </c>
      <c r="F13" s="45" t="s">
        <v>333</v>
      </c>
      <c r="G13" s="45" t="s">
        <v>400</v>
      </c>
      <c r="H13" s="45" t="s">
        <v>431</v>
      </c>
      <c r="I13" s="45" t="s">
        <v>461</v>
      </c>
    </row>
    <row r="15" spans="1:14" x14ac:dyDescent="0.45">
      <c r="A15" s="11" t="s">
        <v>186</v>
      </c>
    </row>
    <row r="16" spans="1:14" ht="34" x14ac:dyDescent="0.45">
      <c r="A16" s="11" t="s">
        <v>181</v>
      </c>
      <c r="B16" s="11" t="s">
        <v>8</v>
      </c>
      <c r="C16" s="11" t="s">
        <v>248</v>
      </c>
      <c r="D16" s="11" t="s">
        <v>102</v>
      </c>
      <c r="E16" s="11" t="s">
        <v>124</v>
      </c>
      <c r="F16" s="26" t="s">
        <v>523</v>
      </c>
      <c r="G16" s="26" t="s">
        <v>524</v>
      </c>
      <c r="H16" s="26" t="s">
        <v>525</v>
      </c>
      <c r="I16" s="26" t="s">
        <v>526</v>
      </c>
    </row>
    <row r="18" spans="3:6" x14ac:dyDescent="0.45">
      <c r="F18" s="12"/>
    </row>
    <row r="19" spans="3:6" x14ac:dyDescent="0.45">
      <c r="F19" s="12"/>
    </row>
    <row r="20" spans="3:6" x14ac:dyDescent="0.45">
      <c r="F20" s="12"/>
    </row>
    <row r="21" spans="3:6" x14ac:dyDescent="0.45">
      <c r="F21" s="12"/>
    </row>
    <row r="22" spans="3:6" x14ac:dyDescent="0.45">
      <c r="F22" s="12"/>
    </row>
    <row r="23" spans="3:6" x14ac:dyDescent="0.45">
      <c r="F23" s="12"/>
    </row>
    <row r="24" spans="3:6" x14ac:dyDescent="0.45">
      <c r="F24" s="12"/>
    </row>
    <row r="25" spans="3:6" x14ac:dyDescent="0.45">
      <c r="C25" s="19"/>
      <c r="F25" s="12"/>
    </row>
    <row r="26" spans="3:6" x14ac:dyDescent="0.45">
      <c r="C26" s="12"/>
      <c r="F26" s="12"/>
    </row>
    <row r="27" spans="3:6" x14ac:dyDescent="0.45">
      <c r="C27" s="12"/>
      <c r="F27" s="12"/>
    </row>
    <row r="28" spans="3:6" x14ac:dyDescent="0.45">
      <c r="C28" s="12"/>
      <c r="F28" s="12"/>
    </row>
    <row r="29" spans="3:6" x14ac:dyDescent="0.45">
      <c r="C29" s="12"/>
    </row>
    <row r="30" spans="3:6" x14ac:dyDescent="0.45">
      <c r="C30" s="12"/>
    </row>
    <row r="31" spans="3:6" x14ac:dyDescent="0.45">
      <c r="C31" s="12"/>
    </row>
    <row r="32" spans="3:6" x14ac:dyDescent="0.45">
      <c r="C32" s="12"/>
    </row>
  </sheetData>
  <mergeCells count="1">
    <mergeCell ref="B2:N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B573-FB99-421B-B82D-80DF2560487A}">
  <dimension ref="A1:AM60"/>
  <sheetViews>
    <sheetView zoomScale="55" zoomScaleNormal="55" workbookViewId="0">
      <selection activeCell="A12" sqref="A12"/>
    </sheetView>
  </sheetViews>
  <sheetFormatPr defaultColWidth="9" defaultRowHeight="17" x14ac:dyDescent="0.45"/>
  <cols>
    <col min="1" max="1" width="10.5" style="39" bestFit="1" customWidth="1"/>
    <col min="2" max="3" width="15.58203125" style="39" customWidth="1"/>
    <col min="4" max="4" width="25.4140625" style="39" customWidth="1"/>
    <col min="5" max="5" width="14.08203125" style="39" bestFit="1" customWidth="1"/>
    <col min="6" max="12" width="15.58203125" style="39" customWidth="1"/>
    <col min="13" max="13" width="50.75" style="39" customWidth="1"/>
    <col min="14" max="14" width="36.33203125" style="39" bestFit="1" customWidth="1"/>
    <col min="15" max="15" width="25" style="39" customWidth="1"/>
    <col min="16" max="16" width="24.58203125" style="39" customWidth="1"/>
    <col min="17" max="17" width="36.33203125" style="39" bestFit="1" customWidth="1"/>
    <col min="18" max="18" width="39.33203125" style="39" bestFit="1" customWidth="1"/>
    <col min="19" max="19" width="61.75" style="39" bestFit="1" customWidth="1"/>
    <col min="20" max="20" width="46.08203125" style="39" bestFit="1" customWidth="1"/>
    <col min="21" max="21" width="15.58203125" style="39" customWidth="1"/>
    <col min="22" max="22" width="19.1640625" style="39" bestFit="1" customWidth="1"/>
    <col min="23" max="23" width="15.58203125" style="39" customWidth="1"/>
    <col min="24" max="24" width="41.58203125" style="39" customWidth="1"/>
    <col min="25" max="32" width="15.58203125" style="39" customWidth="1"/>
    <col min="33" max="33" width="19.1640625" style="39" bestFit="1" customWidth="1"/>
    <col min="34" max="34" width="70.25" style="39" customWidth="1"/>
    <col min="35" max="35" width="15.58203125" style="39" customWidth="1"/>
    <col min="36" max="36" width="25.1640625" style="39" bestFit="1" customWidth="1"/>
    <col min="37" max="37" width="17.58203125" style="39" bestFit="1" customWidth="1"/>
    <col min="38" max="65" width="15.58203125" style="39" customWidth="1"/>
    <col min="66" max="16384" width="9" style="39"/>
  </cols>
  <sheetData>
    <row r="1" spans="1:39" x14ac:dyDescent="0.45">
      <c r="A1" s="39" t="s">
        <v>181</v>
      </c>
    </row>
    <row r="2" spans="1:39" x14ac:dyDescent="0.45">
      <c r="B2" s="55" t="s">
        <v>221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4" spans="1:39" x14ac:dyDescent="0.45">
      <c r="A4" s="39" t="s">
        <v>182</v>
      </c>
      <c r="B4" s="39" t="s">
        <v>19</v>
      </c>
      <c r="C4" s="39" t="s">
        <v>19</v>
      </c>
      <c r="D4" s="39" t="s">
        <v>19</v>
      </c>
      <c r="E4" s="39" t="s">
        <v>18</v>
      </c>
      <c r="F4" s="39" t="s">
        <v>18</v>
      </c>
      <c r="G4" s="39" t="s">
        <v>18</v>
      </c>
      <c r="H4" s="39" t="s">
        <v>183</v>
      </c>
      <c r="I4" s="39" t="s">
        <v>183</v>
      </c>
      <c r="J4" s="39" t="s">
        <v>183</v>
      </c>
      <c r="K4" s="39" t="s">
        <v>18</v>
      </c>
      <c r="L4" s="39" t="s">
        <v>19</v>
      </c>
      <c r="M4" s="39" t="s">
        <v>19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22</v>
      </c>
      <c r="S4" s="10" t="s">
        <v>18</v>
      </c>
      <c r="T4" s="10" t="s">
        <v>18</v>
      </c>
      <c r="U4" s="10" t="s">
        <v>183</v>
      </c>
      <c r="V4" s="10" t="s">
        <v>183</v>
      </c>
      <c r="W4" s="39" t="s">
        <v>19</v>
      </c>
      <c r="X4" s="39" t="s">
        <v>19</v>
      </c>
      <c r="Y4" s="10" t="s">
        <v>18</v>
      </c>
      <c r="Z4" s="10" t="s">
        <v>18</v>
      </c>
      <c r="AA4" s="10" t="s">
        <v>18</v>
      </c>
      <c r="AB4" s="10" t="s">
        <v>18</v>
      </c>
      <c r="AC4" s="10" t="s">
        <v>22</v>
      </c>
      <c r="AD4" s="10" t="s">
        <v>18</v>
      </c>
      <c r="AE4" s="10" t="s">
        <v>18</v>
      </c>
      <c r="AF4" s="10" t="s">
        <v>183</v>
      </c>
      <c r="AG4" s="10" t="s">
        <v>183</v>
      </c>
      <c r="AH4" s="13" t="s">
        <v>19</v>
      </c>
      <c r="AI4" s="31" t="s">
        <v>18</v>
      </c>
      <c r="AJ4" s="31" t="s">
        <v>18</v>
      </c>
      <c r="AK4" s="31" t="s">
        <v>18</v>
      </c>
      <c r="AL4" s="31" t="s">
        <v>18</v>
      </c>
      <c r="AM4" s="31" t="s">
        <v>18</v>
      </c>
    </row>
    <row r="5" spans="1:39" x14ac:dyDescent="0.45">
      <c r="A5" s="39" t="s">
        <v>184</v>
      </c>
      <c r="B5" s="39" t="s">
        <v>20</v>
      </c>
      <c r="C5" s="39" t="s">
        <v>25</v>
      </c>
      <c r="D5" s="39" t="s">
        <v>38</v>
      </c>
      <c r="E5" s="39" t="s">
        <v>112</v>
      </c>
      <c r="F5" s="39" t="s">
        <v>111</v>
      </c>
      <c r="G5" s="39" t="s">
        <v>110</v>
      </c>
      <c r="H5" s="39" t="s">
        <v>1</v>
      </c>
      <c r="I5" s="39" t="s">
        <v>4</v>
      </c>
      <c r="J5" s="39" t="s">
        <v>36</v>
      </c>
      <c r="K5" s="39" t="s">
        <v>2</v>
      </c>
      <c r="L5" s="39" t="s">
        <v>39</v>
      </c>
      <c r="M5" s="39" t="s">
        <v>40</v>
      </c>
      <c r="N5" s="39" t="s">
        <v>64</v>
      </c>
      <c r="O5" s="39" t="s">
        <v>65</v>
      </c>
      <c r="P5" s="39" t="s">
        <v>120</v>
      </c>
      <c r="Q5" s="39" t="s">
        <v>66</v>
      </c>
      <c r="R5" s="39" t="s">
        <v>87</v>
      </c>
      <c r="S5" s="39" t="s">
        <v>88</v>
      </c>
      <c r="T5" s="39" t="s">
        <v>89</v>
      </c>
      <c r="U5" s="39" t="s">
        <v>67</v>
      </c>
      <c r="V5" s="39" t="s">
        <v>506</v>
      </c>
      <c r="W5" s="39" t="s">
        <v>43</v>
      </c>
      <c r="X5" s="39" t="s">
        <v>44</v>
      </c>
      <c r="Y5" s="39" t="s">
        <v>68</v>
      </c>
      <c r="Z5" s="39" t="s">
        <v>69</v>
      </c>
      <c r="AA5" s="39" t="s">
        <v>121</v>
      </c>
      <c r="AB5" s="39" t="s">
        <v>70</v>
      </c>
      <c r="AC5" s="39" t="s">
        <v>90</v>
      </c>
      <c r="AD5" s="39" t="s">
        <v>91</v>
      </c>
      <c r="AE5" s="39" t="s">
        <v>92</v>
      </c>
      <c r="AF5" s="39" t="s">
        <v>71</v>
      </c>
      <c r="AG5" s="39" t="s">
        <v>505</v>
      </c>
      <c r="AH5" s="39" t="s">
        <v>23</v>
      </c>
      <c r="AI5" s="32" t="s">
        <v>74</v>
      </c>
      <c r="AJ5" s="32" t="s">
        <v>494</v>
      </c>
      <c r="AK5" s="32" t="s">
        <v>133</v>
      </c>
      <c r="AL5" s="32" t="s">
        <v>495</v>
      </c>
      <c r="AM5" s="32" t="s">
        <v>496</v>
      </c>
    </row>
    <row r="6" spans="1:39" ht="68" x14ac:dyDescent="0.45">
      <c r="A6" s="39" t="s">
        <v>185</v>
      </c>
      <c r="B6" s="1" t="s">
        <v>482</v>
      </c>
      <c r="C6" s="1" t="s">
        <v>481</v>
      </c>
      <c r="D6" s="1" t="s">
        <v>489</v>
      </c>
      <c r="E6" s="39">
        <v>5</v>
      </c>
      <c r="F6" s="39">
        <v>10</v>
      </c>
      <c r="G6" s="39">
        <v>5</v>
      </c>
      <c r="H6" s="41">
        <v>0.10000000149011599</v>
      </c>
      <c r="I6" s="41">
        <v>0.10000000149011599</v>
      </c>
      <c r="J6" s="41">
        <v>0.10000000149011599</v>
      </c>
      <c r="K6" s="39">
        <v>2</v>
      </c>
      <c r="L6" s="39" t="s">
        <v>500</v>
      </c>
      <c r="M6" s="26" t="s">
        <v>503</v>
      </c>
      <c r="N6" s="39">
        <v>4</v>
      </c>
      <c r="O6" s="39">
        <v>0</v>
      </c>
      <c r="P6" s="39">
        <v>0</v>
      </c>
      <c r="Q6" s="39">
        <v>0</v>
      </c>
      <c r="S6" s="39">
        <v>0</v>
      </c>
      <c r="T6" s="39">
        <v>0</v>
      </c>
      <c r="U6" s="41">
        <v>0</v>
      </c>
      <c r="V6" s="41">
        <v>0</v>
      </c>
      <c r="W6" s="39" t="s">
        <v>501</v>
      </c>
      <c r="X6" s="26" t="s">
        <v>507</v>
      </c>
      <c r="Y6" s="39">
        <v>0</v>
      </c>
      <c r="Z6" s="39">
        <v>0</v>
      </c>
      <c r="AA6" s="39">
        <v>0</v>
      </c>
      <c r="AB6" s="39">
        <v>1</v>
      </c>
      <c r="AC6" s="39" t="s">
        <v>479</v>
      </c>
      <c r="AD6" s="39">
        <v>0</v>
      </c>
      <c r="AE6" s="39">
        <v>0</v>
      </c>
      <c r="AF6" s="41">
        <v>1</v>
      </c>
      <c r="AG6" s="41">
        <v>0.30000001192092901</v>
      </c>
      <c r="AH6" s="26" t="s">
        <v>511</v>
      </c>
      <c r="AI6" s="37">
        <v>15</v>
      </c>
      <c r="AJ6" s="37">
        <v>5</v>
      </c>
      <c r="AK6" s="37">
        <v>1</v>
      </c>
      <c r="AL6" s="37">
        <v>4</v>
      </c>
      <c r="AM6" s="37">
        <v>1</v>
      </c>
    </row>
    <row r="7" spans="1:39" ht="102" x14ac:dyDescent="0.45">
      <c r="B7" s="1" t="s">
        <v>483</v>
      </c>
      <c r="C7" s="1" t="s">
        <v>486</v>
      </c>
      <c r="D7" s="1" t="s">
        <v>547</v>
      </c>
      <c r="E7" s="39">
        <v>8</v>
      </c>
      <c r="F7" s="39">
        <v>6</v>
      </c>
      <c r="G7" s="39">
        <v>6</v>
      </c>
      <c r="H7" s="41">
        <v>0.10000000149011599</v>
      </c>
      <c r="I7" s="41">
        <v>0.10000000149011599</v>
      </c>
      <c r="J7" s="41">
        <v>0.10000000149011599</v>
      </c>
      <c r="K7" s="39">
        <v>3</v>
      </c>
      <c r="L7" s="39" t="s">
        <v>497</v>
      </c>
      <c r="M7" s="26" t="s">
        <v>508</v>
      </c>
      <c r="N7" s="39">
        <v>0</v>
      </c>
      <c r="O7" s="39">
        <v>1</v>
      </c>
      <c r="P7" s="39">
        <v>1</v>
      </c>
      <c r="Q7" s="39">
        <v>0</v>
      </c>
      <c r="S7" s="39">
        <v>0</v>
      </c>
      <c r="T7" s="39">
        <v>0</v>
      </c>
      <c r="U7" s="41">
        <v>1</v>
      </c>
      <c r="V7" s="41">
        <v>0</v>
      </c>
      <c r="W7" s="39" t="s">
        <v>534</v>
      </c>
      <c r="X7" s="39" t="s">
        <v>534</v>
      </c>
      <c r="Y7" s="39">
        <v>0</v>
      </c>
      <c r="Z7" s="39">
        <v>0</v>
      </c>
      <c r="AA7" s="39">
        <v>0</v>
      </c>
      <c r="AB7" s="39">
        <v>0</v>
      </c>
      <c r="AD7" s="39">
        <v>0</v>
      </c>
      <c r="AE7" s="39">
        <v>0</v>
      </c>
      <c r="AF7" s="41">
        <v>0</v>
      </c>
      <c r="AG7" s="41">
        <v>0</v>
      </c>
      <c r="AH7" s="26" t="s">
        <v>512</v>
      </c>
      <c r="AI7" s="37">
        <v>30</v>
      </c>
      <c r="AJ7" s="37">
        <v>10</v>
      </c>
      <c r="AK7" s="37">
        <v>3</v>
      </c>
      <c r="AL7" s="37">
        <v>4</v>
      </c>
      <c r="AM7" s="37">
        <v>1</v>
      </c>
    </row>
    <row r="8" spans="1:39" ht="85" x14ac:dyDescent="0.45">
      <c r="B8" s="1" t="s">
        <v>484</v>
      </c>
      <c r="C8" s="1" t="s">
        <v>487</v>
      </c>
      <c r="D8" s="1" t="s">
        <v>490</v>
      </c>
      <c r="E8" s="39">
        <v>6</v>
      </c>
      <c r="F8" s="39">
        <v>6</v>
      </c>
      <c r="G8" s="39">
        <v>8</v>
      </c>
      <c r="H8" s="41">
        <v>0.10000000149011599</v>
      </c>
      <c r="I8" s="41">
        <v>0.10000000149011599</v>
      </c>
      <c r="J8" s="41">
        <v>0.10000000149011599</v>
      </c>
      <c r="K8" s="39">
        <v>0</v>
      </c>
      <c r="L8" s="39" t="s">
        <v>502</v>
      </c>
      <c r="M8" s="26" t="s">
        <v>509</v>
      </c>
      <c r="N8" s="39">
        <v>0</v>
      </c>
      <c r="O8" s="39">
        <v>0</v>
      </c>
      <c r="P8" s="39">
        <v>0</v>
      </c>
      <c r="Q8" s="39">
        <v>0</v>
      </c>
      <c r="S8" s="39">
        <v>0</v>
      </c>
      <c r="T8" s="39">
        <v>0</v>
      </c>
      <c r="U8" s="41">
        <v>0.80000001192092896</v>
      </c>
      <c r="V8" s="41">
        <v>0</v>
      </c>
      <c r="W8" s="39" t="s">
        <v>498</v>
      </c>
      <c r="X8" s="26" t="s">
        <v>510</v>
      </c>
      <c r="Y8" s="39">
        <v>0</v>
      </c>
      <c r="Z8" s="39">
        <v>0</v>
      </c>
      <c r="AA8" s="39">
        <v>0</v>
      </c>
      <c r="AB8" s="39">
        <v>0</v>
      </c>
      <c r="AD8" s="39">
        <v>0</v>
      </c>
      <c r="AE8" s="39">
        <v>0</v>
      </c>
      <c r="AF8" s="41">
        <v>0</v>
      </c>
      <c r="AG8" s="41">
        <v>0</v>
      </c>
      <c r="AH8" s="26" t="s">
        <v>513</v>
      </c>
      <c r="AI8" s="37">
        <v>30</v>
      </c>
      <c r="AJ8" s="37">
        <v>10</v>
      </c>
      <c r="AK8" s="37">
        <v>2</v>
      </c>
      <c r="AL8" s="37">
        <v>3</v>
      </c>
      <c r="AM8" s="37">
        <v>3</v>
      </c>
    </row>
    <row r="9" spans="1:39" ht="68" x14ac:dyDescent="0.45">
      <c r="B9" s="1" t="s">
        <v>485</v>
      </c>
      <c r="C9" s="1" t="s">
        <v>488</v>
      </c>
      <c r="D9" s="1" t="s">
        <v>491</v>
      </c>
      <c r="E9" s="32">
        <v>6</v>
      </c>
      <c r="F9" s="32">
        <v>12</v>
      </c>
      <c r="G9" s="32">
        <v>6</v>
      </c>
      <c r="H9" s="41">
        <v>0.20000000298023199</v>
      </c>
      <c r="I9" s="41">
        <v>0.15000000596046401</v>
      </c>
      <c r="J9" s="41">
        <v>0.15000000596046401</v>
      </c>
      <c r="K9" s="39">
        <v>2</v>
      </c>
      <c r="L9" s="39" t="s">
        <v>499</v>
      </c>
      <c r="M9" s="26" t="s">
        <v>518</v>
      </c>
      <c r="N9" s="39">
        <v>0</v>
      </c>
      <c r="O9" s="39">
        <v>1</v>
      </c>
      <c r="P9" s="39">
        <v>1</v>
      </c>
      <c r="Q9" s="39">
        <v>0</v>
      </c>
      <c r="S9" s="39">
        <v>0</v>
      </c>
      <c r="T9" s="39">
        <v>0</v>
      </c>
      <c r="U9" s="41">
        <v>1.20000004768372</v>
      </c>
      <c r="V9" s="41">
        <v>0</v>
      </c>
      <c r="W9" s="39" t="s">
        <v>534</v>
      </c>
      <c r="X9" s="39" t="s">
        <v>534</v>
      </c>
      <c r="Y9" s="39">
        <v>0</v>
      </c>
      <c r="Z9" s="39">
        <v>0</v>
      </c>
      <c r="AA9" s="39">
        <v>0</v>
      </c>
      <c r="AB9" s="39">
        <v>0</v>
      </c>
      <c r="AD9" s="39">
        <v>0</v>
      </c>
      <c r="AE9" s="39">
        <v>0</v>
      </c>
      <c r="AF9" s="41">
        <v>0</v>
      </c>
      <c r="AG9" s="41">
        <v>0</v>
      </c>
      <c r="AH9" s="26" t="s">
        <v>514</v>
      </c>
      <c r="AI9" s="37">
        <v>60</v>
      </c>
      <c r="AJ9" s="37">
        <v>20</v>
      </c>
      <c r="AK9" s="37">
        <v>3</v>
      </c>
      <c r="AL9" s="37">
        <v>4</v>
      </c>
      <c r="AM9" s="37">
        <v>3</v>
      </c>
    </row>
    <row r="10" spans="1:39" ht="68" x14ac:dyDescent="0.45">
      <c r="B10" s="32" t="s">
        <v>541</v>
      </c>
      <c r="C10" s="32" t="s">
        <v>594</v>
      </c>
      <c r="D10" s="32" t="s">
        <v>492</v>
      </c>
      <c r="E10" s="32">
        <v>10</v>
      </c>
      <c r="F10" s="32">
        <v>6</v>
      </c>
      <c r="G10" s="32">
        <v>6</v>
      </c>
      <c r="H10" s="41">
        <v>0.25</v>
      </c>
      <c r="I10" s="41">
        <v>0.20000000298023199</v>
      </c>
      <c r="J10" s="41">
        <v>0.20000000298023199</v>
      </c>
      <c r="K10" s="39">
        <v>1</v>
      </c>
      <c r="L10" s="32" t="s">
        <v>535</v>
      </c>
      <c r="M10" s="26" t="s">
        <v>509</v>
      </c>
      <c r="N10" s="39">
        <v>0</v>
      </c>
      <c r="O10" s="39">
        <v>0</v>
      </c>
      <c r="P10" s="39">
        <v>0</v>
      </c>
      <c r="Q10" s="39">
        <v>0</v>
      </c>
      <c r="S10" s="39">
        <v>0</v>
      </c>
      <c r="T10" s="39">
        <v>0</v>
      </c>
      <c r="U10" s="41">
        <v>1.20000004768372</v>
      </c>
      <c r="V10" s="41">
        <v>0</v>
      </c>
      <c r="W10" s="32" t="s">
        <v>536</v>
      </c>
      <c r="X10" s="26" t="s">
        <v>515</v>
      </c>
      <c r="Y10" s="39">
        <v>0</v>
      </c>
      <c r="Z10" s="39">
        <v>0</v>
      </c>
      <c r="AA10" s="39">
        <v>0</v>
      </c>
      <c r="AB10" s="39">
        <v>1</v>
      </c>
      <c r="AC10" s="39" t="s">
        <v>516</v>
      </c>
      <c r="AD10" s="39">
        <v>0</v>
      </c>
      <c r="AE10" s="39">
        <v>0</v>
      </c>
      <c r="AF10" s="41">
        <v>1.20000004768372</v>
      </c>
      <c r="AG10" s="41">
        <v>1</v>
      </c>
      <c r="AH10" s="26" t="s">
        <v>517</v>
      </c>
      <c r="AI10" s="37">
        <v>80</v>
      </c>
      <c r="AJ10" s="37">
        <v>0</v>
      </c>
      <c r="AK10" s="37">
        <v>7</v>
      </c>
      <c r="AL10" s="37">
        <v>5</v>
      </c>
      <c r="AM10" s="37">
        <v>3</v>
      </c>
    </row>
    <row r="11" spans="1:39" x14ac:dyDescent="0.45">
      <c r="AI11" s="49">
        <v>120</v>
      </c>
    </row>
    <row r="12" spans="1:39" ht="34" x14ac:dyDescent="0.45">
      <c r="A12" s="39" t="s">
        <v>186</v>
      </c>
      <c r="B12" s="39" t="s">
        <v>37</v>
      </c>
      <c r="C12" s="39" t="s">
        <v>24</v>
      </c>
      <c r="D12" s="39" t="s">
        <v>222</v>
      </c>
      <c r="E12" s="39" t="s">
        <v>109</v>
      </c>
      <c r="F12" s="39" t="s">
        <v>100</v>
      </c>
      <c r="G12" s="39" t="s">
        <v>101</v>
      </c>
      <c r="H12" s="39" t="s">
        <v>7</v>
      </c>
      <c r="I12" s="39" t="s">
        <v>6</v>
      </c>
      <c r="J12" s="39" t="s">
        <v>5</v>
      </c>
      <c r="K12" s="39" t="s">
        <v>3</v>
      </c>
      <c r="L12" s="39" t="s">
        <v>46</v>
      </c>
      <c r="M12" s="39" t="s">
        <v>41</v>
      </c>
      <c r="N12" s="26" t="s">
        <v>504</v>
      </c>
      <c r="O12" s="39" t="s">
        <v>59</v>
      </c>
      <c r="P12" s="39" t="s">
        <v>123</v>
      </c>
      <c r="Q12" s="39" t="s">
        <v>60</v>
      </c>
      <c r="R12" s="39" t="s">
        <v>93</v>
      </c>
      <c r="S12" s="39" t="s">
        <v>94</v>
      </c>
      <c r="T12" s="39" t="s">
        <v>95</v>
      </c>
      <c r="U12" s="39" t="s">
        <v>63</v>
      </c>
      <c r="V12" s="39" t="s">
        <v>63</v>
      </c>
      <c r="W12" s="39" t="s">
        <v>47</v>
      </c>
      <c r="X12" s="39" t="s">
        <v>42</v>
      </c>
      <c r="Y12" s="39" t="s">
        <v>129</v>
      </c>
      <c r="Z12" s="39" t="s">
        <v>115</v>
      </c>
      <c r="AA12" s="39" t="s">
        <v>122</v>
      </c>
      <c r="AB12" s="39" t="s">
        <v>61</v>
      </c>
      <c r="AC12" s="39" t="s">
        <v>96</v>
      </c>
      <c r="AD12" s="39" t="s">
        <v>97</v>
      </c>
      <c r="AE12" s="39" t="s">
        <v>98</v>
      </c>
      <c r="AF12" s="39" t="s">
        <v>62</v>
      </c>
      <c r="AG12" s="39" t="s">
        <v>62</v>
      </c>
      <c r="AH12" s="39" t="s">
        <v>45</v>
      </c>
      <c r="AI12" s="39" t="s">
        <v>73</v>
      </c>
      <c r="AJ12" s="39" t="s">
        <v>493</v>
      </c>
      <c r="AK12" s="39" t="s">
        <v>286</v>
      </c>
      <c r="AL12" s="39" t="s">
        <v>287</v>
      </c>
      <c r="AM12" s="39" t="s">
        <v>288</v>
      </c>
    </row>
    <row r="13" spans="1:39" x14ac:dyDescent="0.45">
      <c r="A13" s="39" t="s">
        <v>181</v>
      </c>
    </row>
    <row r="15" spans="1:39" x14ac:dyDescent="0.45">
      <c r="B15" s="39" t="s">
        <v>481</v>
      </c>
    </row>
    <row r="16" spans="1:39" x14ac:dyDescent="0.45">
      <c r="B16" s="39" t="s">
        <v>586</v>
      </c>
    </row>
    <row r="26" spans="2:2" x14ac:dyDescent="0.45">
      <c r="B26" s="39" t="s">
        <v>587</v>
      </c>
    </row>
    <row r="27" spans="2:2" x14ac:dyDescent="0.45">
      <c r="B27" s="39" t="s">
        <v>588</v>
      </c>
    </row>
    <row r="37" spans="2:2" x14ac:dyDescent="0.45">
      <c r="B37" s="39" t="s">
        <v>589</v>
      </c>
    </row>
    <row r="38" spans="2:2" x14ac:dyDescent="0.45">
      <c r="B38" s="39" t="s">
        <v>590</v>
      </c>
    </row>
    <row r="48" spans="2:2" x14ac:dyDescent="0.45">
      <c r="B48" s="39" t="s">
        <v>488</v>
      </c>
    </row>
    <row r="49" spans="2:2" x14ac:dyDescent="0.45">
      <c r="B49" s="39" t="s">
        <v>591</v>
      </c>
    </row>
    <row r="59" spans="2:2" x14ac:dyDescent="0.45">
      <c r="B59" s="39" t="s">
        <v>592</v>
      </c>
    </row>
    <row r="60" spans="2:2" x14ac:dyDescent="0.45">
      <c r="B60" s="39" t="s">
        <v>593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5E06-4C8A-43EB-9784-7D906D56BEF6}">
  <dimension ref="A1:Q75"/>
  <sheetViews>
    <sheetView zoomScale="70" zoomScaleNormal="70" workbookViewId="0">
      <selection activeCell="P9" sqref="P9"/>
    </sheetView>
  </sheetViews>
  <sheetFormatPr defaultColWidth="9" defaultRowHeight="17" x14ac:dyDescent="0.45"/>
  <cols>
    <col min="1" max="1" width="10.5" style="18" bestFit="1" customWidth="1"/>
    <col min="2" max="2" width="15.58203125" style="18" customWidth="1"/>
    <col min="3" max="3" width="16.83203125" style="40" bestFit="1" customWidth="1"/>
    <col min="4" max="4" width="8.83203125" style="18" bestFit="1" customWidth="1"/>
    <col min="5" max="5" width="10.6640625" style="18" bestFit="1" customWidth="1"/>
    <col min="6" max="6" width="8.83203125" style="18" bestFit="1" customWidth="1"/>
    <col min="7" max="7" width="10.6640625" style="18" bestFit="1" customWidth="1"/>
    <col min="8" max="8" width="10.75" style="18" bestFit="1" customWidth="1"/>
    <col min="9" max="9" width="10.6640625" style="18" bestFit="1" customWidth="1"/>
    <col min="10" max="10" width="8.83203125" style="18" bestFit="1" customWidth="1"/>
    <col min="11" max="11" width="10.6640625" style="18" bestFit="1" customWidth="1"/>
    <col min="12" max="12" width="8.83203125" style="18" bestFit="1" customWidth="1"/>
    <col min="13" max="13" width="10.6640625" style="18" bestFit="1" customWidth="1"/>
    <col min="14" max="14" width="8.83203125" style="40" bestFit="1" customWidth="1"/>
    <col min="15" max="15" width="10.6640625" style="40" bestFit="1" customWidth="1"/>
    <col min="16" max="38" width="15.58203125" style="18" customWidth="1"/>
    <col min="39" max="16384" width="9" style="18"/>
  </cols>
  <sheetData>
    <row r="1" spans="1:17" x14ac:dyDescent="0.45">
      <c r="A1" s="18" t="s">
        <v>181</v>
      </c>
    </row>
    <row r="2" spans="1:17" x14ac:dyDescent="0.45">
      <c r="B2" s="56" t="s">
        <v>264</v>
      </c>
      <c r="C2" s="56"/>
      <c r="D2" s="56"/>
    </row>
    <row r="4" spans="1:17" x14ac:dyDescent="0.45">
      <c r="A4" s="18" t="s">
        <v>182</v>
      </c>
      <c r="B4" s="29" t="s">
        <v>19</v>
      </c>
      <c r="C4" s="29" t="s">
        <v>19</v>
      </c>
      <c r="D4" s="29" t="s">
        <v>19</v>
      </c>
      <c r="E4" s="18" t="s">
        <v>18</v>
      </c>
      <c r="F4" s="29" t="s">
        <v>19</v>
      </c>
      <c r="G4" s="18" t="s">
        <v>18</v>
      </c>
      <c r="H4" s="29" t="s">
        <v>19</v>
      </c>
      <c r="I4" s="18" t="s">
        <v>18</v>
      </c>
      <c r="J4" s="29" t="s">
        <v>19</v>
      </c>
      <c r="K4" s="18" t="s">
        <v>18</v>
      </c>
      <c r="L4" s="29" t="s">
        <v>19</v>
      </c>
      <c r="M4" s="18" t="s">
        <v>18</v>
      </c>
      <c r="N4" s="29" t="s">
        <v>19</v>
      </c>
      <c r="O4" s="30" t="s">
        <v>18</v>
      </c>
      <c r="P4" s="42" t="s">
        <v>280</v>
      </c>
      <c r="Q4" s="42" t="s">
        <v>280</v>
      </c>
    </row>
    <row r="5" spans="1:17" x14ac:dyDescent="0.45">
      <c r="A5" s="18" t="s">
        <v>184</v>
      </c>
      <c r="B5" s="30" t="s">
        <v>20</v>
      </c>
      <c r="C5" s="30" t="s">
        <v>278</v>
      </c>
      <c r="D5" s="29" t="s">
        <v>265</v>
      </c>
      <c r="E5" s="18" t="s">
        <v>266</v>
      </c>
      <c r="F5" s="30" t="s">
        <v>267</v>
      </c>
      <c r="G5" s="18" t="s">
        <v>268</v>
      </c>
      <c r="H5" s="30" t="s">
        <v>269</v>
      </c>
      <c r="I5" s="18" t="s">
        <v>270</v>
      </c>
      <c r="J5" s="30" t="s">
        <v>271</v>
      </c>
      <c r="K5" s="18" t="s">
        <v>272</v>
      </c>
      <c r="L5" s="30" t="s">
        <v>273</v>
      </c>
      <c r="M5" s="18" t="s">
        <v>274</v>
      </c>
      <c r="N5" s="29" t="s">
        <v>537</v>
      </c>
      <c r="O5" s="29" t="s">
        <v>548</v>
      </c>
      <c r="P5" s="42" t="s">
        <v>279</v>
      </c>
      <c r="Q5" s="42" t="s">
        <v>281</v>
      </c>
    </row>
    <row r="6" spans="1:17" x14ac:dyDescent="0.45">
      <c r="A6" s="18" t="s">
        <v>185</v>
      </c>
      <c r="B6" s="29" t="s">
        <v>549</v>
      </c>
      <c r="C6" s="29" t="s">
        <v>552</v>
      </c>
      <c r="D6" s="29" t="s">
        <v>544</v>
      </c>
      <c r="E6" s="18">
        <v>1</v>
      </c>
      <c r="F6" s="29" t="s">
        <v>544</v>
      </c>
      <c r="G6" s="18">
        <v>3</v>
      </c>
      <c r="H6" s="30"/>
      <c r="J6" s="30"/>
      <c r="L6" s="30"/>
      <c r="N6" s="30"/>
      <c r="O6" s="30"/>
      <c r="P6" s="43">
        <v>1</v>
      </c>
      <c r="Q6" s="43">
        <v>1</v>
      </c>
    </row>
    <row r="7" spans="1:17" x14ac:dyDescent="0.45">
      <c r="B7" s="29" t="s">
        <v>558</v>
      </c>
      <c r="C7" s="29" t="s">
        <v>552</v>
      </c>
      <c r="D7" s="29" t="s">
        <v>544</v>
      </c>
      <c r="E7" s="18">
        <v>2</v>
      </c>
      <c r="F7" s="29" t="s">
        <v>545</v>
      </c>
      <c r="G7" s="18">
        <v>5</v>
      </c>
      <c r="H7" s="30"/>
      <c r="J7" s="30"/>
      <c r="L7" s="30"/>
      <c r="N7" s="30"/>
      <c r="O7" s="30"/>
      <c r="P7" s="43">
        <v>1</v>
      </c>
      <c r="Q7" s="43">
        <v>1</v>
      </c>
    </row>
    <row r="8" spans="1:17" x14ac:dyDescent="0.45">
      <c r="B8" s="29" t="s">
        <v>596</v>
      </c>
      <c r="C8" s="29" t="s">
        <v>552</v>
      </c>
      <c r="D8" s="29" t="s">
        <v>544</v>
      </c>
      <c r="E8" s="18">
        <v>1</v>
      </c>
      <c r="F8" s="29" t="s">
        <v>484</v>
      </c>
      <c r="G8" s="18">
        <v>3</v>
      </c>
      <c r="H8" s="29" t="s">
        <v>483</v>
      </c>
      <c r="I8" s="18">
        <v>5</v>
      </c>
      <c r="J8" s="30"/>
      <c r="L8" s="30"/>
      <c r="N8" s="30"/>
      <c r="O8" s="30"/>
      <c r="P8" s="43">
        <v>1</v>
      </c>
      <c r="Q8" s="43">
        <v>1</v>
      </c>
    </row>
    <row r="9" spans="1:17" s="40" customFormat="1" x14ac:dyDescent="0.45">
      <c r="B9" s="29" t="s">
        <v>597</v>
      </c>
      <c r="C9" s="29" t="s">
        <v>552</v>
      </c>
      <c r="D9" s="29" t="s">
        <v>484</v>
      </c>
      <c r="E9" s="40">
        <v>2</v>
      </c>
      <c r="F9" s="29"/>
      <c r="H9" s="29"/>
      <c r="J9" s="30"/>
      <c r="L9" s="30"/>
      <c r="N9" s="30"/>
      <c r="O9" s="30"/>
      <c r="P9" s="43">
        <v>3</v>
      </c>
      <c r="Q9" s="43">
        <v>3</v>
      </c>
    </row>
    <row r="10" spans="1:17" s="40" customFormat="1" x14ac:dyDescent="0.45">
      <c r="B10" s="29" t="s">
        <v>598</v>
      </c>
      <c r="C10" s="29" t="s">
        <v>552</v>
      </c>
      <c r="D10" s="29" t="s">
        <v>484</v>
      </c>
      <c r="E10" s="40">
        <v>2</v>
      </c>
      <c r="F10" s="29"/>
      <c r="H10" s="29"/>
      <c r="J10" s="30"/>
      <c r="L10" s="30"/>
      <c r="N10" s="30"/>
      <c r="O10" s="30"/>
      <c r="P10" s="43">
        <v>4</v>
      </c>
      <c r="Q10" s="43">
        <v>4</v>
      </c>
    </row>
    <row r="11" spans="1:17" x14ac:dyDescent="0.45">
      <c r="B11" s="29" t="s">
        <v>571</v>
      </c>
      <c r="C11" s="29" t="s">
        <v>553</v>
      </c>
      <c r="D11" s="29" t="s">
        <v>544</v>
      </c>
      <c r="E11" s="18">
        <v>1</v>
      </c>
      <c r="F11" s="29" t="s">
        <v>544</v>
      </c>
      <c r="G11" s="18">
        <v>3</v>
      </c>
      <c r="H11" s="29" t="s">
        <v>545</v>
      </c>
      <c r="I11" s="18">
        <v>4</v>
      </c>
      <c r="J11" s="29" t="s">
        <v>545</v>
      </c>
      <c r="K11" s="18">
        <v>6</v>
      </c>
      <c r="L11" s="30"/>
      <c r="N11" s="30"/>
      <c r="O11" s="30"/>
      <c r="P11" s="43">
        <v>2</v>
      </c>
      <c r="Q11" s="43">
        <v>2</v>
      </c>
    </row>
    <row r="12" spans="1:17" s="40" customFormat="1" x14ac:dyDescent="0.45">
      <c r="B12" s="29" t="s">
        <v>572</v>
      </c>
      <c r="C12" s="29" t="s">
        <v>553</v>
      </c>
      <c r="D12" s="29" t="s">
        <v>544</v>
      </c>
      <c r="E12" s="40">
        <v>1</v>
      </c>
      <c r="F12" s="29" t="s">
        <v>544</v>
      </c>
      <c r="G12" s="40">
        <v>3</v>
      </c>
      <c r="H12" s="29" t="s">
        <v>545</v>
      </c>
      <c r="I12" s="40">
        <v>4</v>
      </c>
      <c r="J12" s="29" t="s">
        <v>545</v>
      </c>
      <c r="K12" s="40">
        <v>6</v>
      </c>
      <c r="L12" s="30"/>
      <c r="N12" s="30"/>
      <c r="O12" s="30"/>
      <c r="P12" s="43">
        <v>3</v>
      </c>
      <c r="Q12" s="43">
        <v>4</v>
      </c>
    </row>
    <row r="13" spans="1:17" s="40" customFormat="1" x14ac:dyDescent="0.45">
      <c r="B13" s="29" t="s">
        <v>573</v>
      </c>
      <c r="C13" s="29" t="s">
        <v>553</v>
      </c>
      <c r="D13" s="29" t="s">
        <v>544</v>
      </c>
      <c r="E13" s="40">
        <v>1</v>
      </c>
      <c r="F13" s="29" t="s">
        <v>544</v>
      </c>
      <c r="G13" s="40">
        <v>3</v>
      </c>
      <c r="H13" s="29" t="s">
        <v>545</v>
      </c>
      <c r="I13" s="40">
        <v>4</v>
      </c>
      <c r="J13" s="29" t="s">
        <v>545</v>
      </c>
      <c r="K13" s="40">
        <v>6</v>
      </c>
      <c r="L13" s="30"/>
      <c r="N13" s="30"/>
      <c r="O13" s="30"/>
      <c r="P13" s="43">
        <v>5</v>
      </c>
      <c r="Q13" s="43">
        <v>6</v>
      </c>
    </row>
    <row r="14" spans="1:17" s="40" customFormat="1" x14ac:dyDescent="0.45">
      <c r="B14" s="29" t="s">
        <v>564</v>
      </c>
      <c r="C14" s="29" t="s">
        <v>553</v>
      </c>
      <c r="D14" s="29" t="s">
        <v>544</v>
      </c>
      <c r="E14" s="40">
        <v>1</v>
      </c>
      <c r="F14" s="29" t="s">
        <v>544</v>
      </c>
      <c r="G14" s="40">
        <v>3</v>
      </c>
      <c r="H14" s="29" t="s">
        <v>545</v>
      </c>
      <c r="I14" s="40">
        <v>4</v>
      </c>
      <c r="J14" s="29" t="s">
        <v>545</v>
      </c>
      <c r="K14" s="40">
        <v>6</v>
      </c>
      <c r="L14" s="30"/>
      <c r="N14" s="30"/>
      <c r="O14" s="30"/>
      <c r="P14" s="43">
        <v>7</v>
      </c>
      <c r="Q14" s="43">
        <v>7</v>
      </c>
    </row>
    <row r="15" spans="1:17" x14ac:dyDescent="0.45">
      <c r="B15" s="29" t="s">
        <v>568</v>
      </c>
      <c r="C15" s="29" t="s">
        <v>553</v>
      </c>
      <c r="D15" s="29" t="s">
        <v>544</v>
      </c>
      <c r="E15" s="18">
        <v>1</v>
      </c>
      <c r="F15" s="29" t="s">
        <v>544</v>
      </c>
      <c r="G15" s="18">
        <v>2</v>
      </c>
      <c r="H15" s="29" t="s">
        <v>544</v>
      </c>
      <c r="I15" s="18">
        <v>3</v>
      </c>
      <c r="J15" s="29" t="s">
        <v>545</v>
      </c>
      <c r="K15" s="18">
        <v>5</v>
      </c>
      <c r="L15" s="30"/>
      <c r="N15" s="30"/>
      <c r="O15" s="30"/>
      <c r="P15" s="43">
        <v>2</v>
      </c>
      <c r="Q15" s="43">
        <v>2</v>
      </c>
    </row>
    <row r="16" spans="1:17" s="40" customFormat="1" x14ac:dyDescent="0.45">
      <c r="B16" s="29" t="s">
        <v>569</v>
      </c>
      <c r="C16" s="29" t="s">
        <v>553</v>
      </c>
      <c r="D16" s="29" t="s">
        <v>544</v>
      </c>
      <c r="E16" s="40">
        <v>1</v>
      </c>
      <c r="F16" s="29" t="s">
        <v>544</v>
      </c>
      <c r="G16" s="40">
        <v>2</v>
      </c>
      <c r="H16" s="29" t="s">
        <v>544</v>
      </c>
      <c r="I16" s="40">
        <v>3</v>
      </c>
      <c r="J16" s="29" t="s">
        <v>545</v>
      </c>
      <c r="K16" s="40">
        <v>5</v>
      </c>
      <c r="L16" s="30"/>
      <c r="N16" s="30"/>
      <c r="O16" s="30"/>
      <c r="P16" s="43">
        <v>3</v>
      </c>
      <c r="Q16" s="43">
        <v>4</v>
      </c>
    </row>
    <row r="17" spans="2:17" s="40" customFormat="1" x14ac:dyDescent="0.45">
      <c r="B17" s="29" t="s">
        <v>570</v>
      </c>
      <c r="C17" s="29" t="s">
        <v>553</v>
      </c>
      <c r="D17" s="29" t="s">
        <v>544</v>
      </c>
      <c r="E17" s="40">
        <v>1</v>
      </c>
      <c r="F17" s="29" t="s">
        <v>544</v>
      </c>
      <c r="G17" s="40">
        <v>2</v>
      </c>
      <c r="H17" s="29" t="s">
        <v>544</v>
      </c>
      <c r="I17" s="40">
        <v>3</v>
      </c>
      <c r="J17" s="29" t="s">
        <v>545</v>
      </c>
      <c r="K17" s="40">
        <v>5</v>
      </c>
      <c r="L17" s="30"/>
      <c r="N17" s="30"/>
      <c r="O17" s="30"/>
      <c r="P17" s="43">
        <v>5</v>
      </c>
      <c r="Q17" s="43">
        <v>6</v>
      </c>
    </row>
    <row r="18" spans="2:17" s="40" customFormat="1" x14ac:dyDescent="0.45">
      <c r="B18" s="29" t="s">
        <v>563</v>
      </c>
      <c r="C18" s="29" t="s">
        <v>553</v>
      </c>
      <c r="D18" s="29" t="s">
        <v>544</v>
      </c>
      <c r="E18" s="40">
        <v>1</v>
      </c>
      <c r="F18" s="29" t="s">
        <v>544</v>
      </c>
      <c r="G18" s="40">
        <v>2</v>
      </c>
      <c r="H18" s="29" t="s">
        <v>544</v>
      </c>
      <c r="I18" s="40">
        <v>3</v>
      </c>
      <c r="J18" s="29" t="s">
        <v>545</v>
      </c>
      <c r="K18" s="40">
        <v>5</v>
      </c>
      <c r="L18" s="30"/>
      <c r="N18" s="30"/>
      <c r="O18" s="30"/>
      <c r="P18" s="43">
        <v>7</v>
      </c>
      <c r="Q18" s="43">
        <v>7</v>
      </c>
    </row>
    <row r="19" spans="2:17" x14ac:dyDescent="0.45">
      <c r="B19" s="29" t="s">
        <v>566</v>
      </c>
      <c r="C19" s="29" t="s">
        <v>553</v>
      </c>
      <c r="D19" s="29" t="s">
        <v>544</v>
      </c>
      <c r="E19" s="18">
        <v>2</v>
      </c>
      <c r="F19" s="29" t="s">
        <v>545</v>
      </c>
      <c r="G19" s="18">
        <v>4</v>
      </c>
      <c r="H19" s="29" t="s">
        <v>545</v>
      </c>
      <c r="I19" s="18">
        <v>5</v>
      </c>
      <c r="J19" s="29" t="s">
        <v>545</v>
      </c>
      <c r="K19" s="18">
        <v>6</v>
      </c>
      <c r="L19" s="30"/>
      <c r="N19" s="30"/>
      <c r="O19" s="30"/>
      <c r="P19" s="43">
        <v>2</v>
      </c>
      <c r="Q19" s="43">
        <v>2</v>
      </c>
    </row>
    <row r="20" spans="2:17" s="40" customFormat="1" x14ac:dyDescent="0.45">
      <c r="B20" s="29" t="s">
        <v>567</v>
      </c>
      <c r="C20" s="29" t="s">
        <v>553</v>
      </c>
      <c r="D20" s="29" t="s">
        <v>544</v>
      </c>
      <c r="E20" s="40">
        <v>2</v>
      </c>
      <c r="F20" s="29" t="s">
        <v>545</v>
      </c>
      <c r="G20" s="40">
        <v>4</v>
      </c>
      <c r="H20" s="29" t="s">
        <v>545</v>
      </c>
      <c r="I20" s="40">
        <v>5</v>
      </c>
      <c r="J20" s="29" t="s">
        <v>545</v>
      </c>
      <c r="K20" s="40">
        <v>6</v>
      </c>
      <c r="L20" s="30"/>
      <c r="N20" s="30"/>
      <c r="O20" s="30"/>
      <c r="P20" s="43">
        <v>3</v>
      </c>
      <c r="Q20" s="43">
        <v>4</v>
      </c>
    </row>
    <row r="21" spans="2:17" s="40" customFormat="1" x14ac:dyDescent="0.45">
      <c r="B21" s="29" t="s">
        <v>565</v>
      </c>
      <c r="C21" s="29" t="s">
        <v>553</v>
      </c>
      <c r="D21" s="29" t="s">
        <v>544</v>
      </c>
      <c r="E21" s="40">
        <v>2</v>
      </c>
      <c r="F21" s="29" t="s">
        <v>545</v>
      </c>
      <c r="G21" s="40">
        <v>4</v>
      </c>
      <c r="H21" s="29" t="s">
        <v>545</v>
      </c>
      <c r="I21" s="40">
        <v>5</v>
      </c>
      <c r="J21" s="29" t="s">
        <v>545</v>
      </c>
      <c r="K21" s="40">
        <v>6</v>
      </c>
      <c r="L21" s="30"/>
      <c r="N21" s="30"/>
      <c r="O21" s="30"/>
      <c r="P21" s="43">
        <v>5</v>
      </c>
      <c r="Q21" s="43">
        <v>6</v>
      </c>
    </row>
    <row r="22" spans="2:17" s="40" customFormat="1" x14ac:dyDescent="0.45">
      <c r="B22" s="29" t="s">
        <v>562</v>
      </c>
      <c r="C22" s="29" t="s">
        <v>553</v>
      </c>
      <c r="D22" s="29" t="s">
        <v>544</v>
      </c>
      <c r="E22" s="40">
        <v>2</v>
      </c>
      <c r="F22" s="29" t="s">
        <v>545</v>
      </c>
      <c r="G22" s="40">
        <v>4</v>
      </c>
      <c r="H22" s="29" t="s">
        <v>545</v>
      </c>
      <c r="I22" s="40">
        <v>5</v>
      </c>
      <c r="J22" s="29" t="s">
        <v>545</v>
      </c>
      <c r="K22" s="40">
        <v>6</v>
      </c>
      <c r="L22" s="30"/>
      <c r="N22" s="30"/>
      <c r="O22" s="30"/>
      <c r="P22" s="43">
        <v>7</v>
      </c>
      <c r="Q22" s="43">
        <v>7</v>
      </c>
    </row>
    <row r="23" spans="2:17" x14ac:dyDescent="0.45">
      <c r="B23" s="29" t="s">
        <v>574</v>
      </c>
      <c r="C23" s="29" t="s">
        <v>554</v>
      </c>
      <c r="D23" s="29" t="s">
        <v>544</v>
      </c>
      <c r="E23" s="18">
        <v>1</v>
      </c>
      <c r="F23" s="29" t="s">
        <v>544</v>
      </c>
      <c r="G23" s="18">
        <v>3</v>
      </c>
      <c r="H23" s="29" t="s">
        <v>559</v>
      </c>
      <c r="I23" s="18">
        <v>5</v>
      </c>
      <c r="J23" s="30"/>
      <c r="L23" s="30"/>
      <c r="N23" s="30"/>
      <c r="O23" s="30"/>
      <c r="P23" s="43">
        <v>3</v>
      </c>
      <c r="Q23" s="43">
        <v>4</v>
      </c>
    </row>
    <row r="24" spans="2:17" s="40" customFormat="1" x14ac:dyDescent="0.45">
      <c r="B24" s="29" t="s">
        <v>575</v>
      </c>
      <c r="C24" s="29" t="s">
        <v>554</v>
      </c>
      <c r="D24" s="29" t="s">
        <v>544</v>
      </c>
      <c r="E24" s="40">
        <v>1</v>
      </c>
      <c r="F24" s="29" t="s">
        <v>544</v>
      </c>
      <c r="G24" s="40">
        <v>3</v>
      </c>
      <c r="H24" s="29" t="s">
        <v>559</v>
      </c>
      <c r="I24" s="40">
        <v>5</v>
      </c>
      <c r="J24" s="30"/>
      <c r="L24" s="30"/>
      <c r="N24" s="30"/>
      <c r="O24" s="30"/>
      <c r="P24" s="43">
        <v>5</v>
      </c>
      <c r="Q24" s="43">
        <v>6</v>
      </c>
    </row>
    <row r="25" spans="2:17" s="40" customFormat="1" x14ac:dyDescent="0.45">
      <c r="B25" s="29" t="s">
        <v>561</v>
      </c>
      <c r="C25" s="29" t="s">
        <v>554</v>
      </c>
      <c r="D25" s="29" t="s">
        <v>544</v>
      </c>
      <c r="E25" s="40">
        <v>1</v>
      </c>
      <c r="F25" s="29" t="s">
        <v>544</v>
      </c>
      <c r="G25" s="40">
        <v>3</v>
      </c>
      <c r="H25" s="29" t="s">
        <v>559</v>
      </c>
      <c r="I25" s="40">
        <v>5</v>
      </c>
      <c r="J25" s="30"/>
      <c r="L25" s="30"/>
      <c r="N25" s="30"/>
      <c r="O25" s="30"/>
      <c r="P25" s="43">
        <v>7</v>
      </c>
      <c r="Q25" s="43">
        <v>7</v>
      </c>
    </row>
    <row r="26" spans="2:17" x14ac:dyDescent="0.45">
      <c r="B26" s="29" t="s">
        <v>576</v>
      </c>
      <c r="C26" s="29" t="s">
        <v>554</v>
      </c>
      <c r="D26" s="29" t="s">
        <v>544</v>
      </c>
      <c r="E26" s="18">
        <v>2</v>
      </c>
      <c r="F26" s="29" t="s">
        <v>559</v>
      </c>
      <c r="G26" s="18">
        <v>4</v>
      </c>
      <c r="H26" s="29" t="s">
        <v>545</v>
      </c>
      <c r="I26" s="18">
        <v>6</v>
      </c>
      <c r="J26" s="30"/>
      <c r="L26" s="30"/>
      <c r="N26" s="30"/>
      <c r="O26" s="30"/>
      <c r="P26" s="43">
        <v>3</v>
      </c>
      <c r="Q26" s="43">
        <v>4</v>
      </c>
    </row>
    <row r="27" spans="2:17" s="40" customFormat="1" x14ac:dyDescent="0.45">
      <c r="B27" s="29" t="s">
        <v>577</v>
      </c>
      <c r="C27" s="29" t="s">
        <v>554</v>
      </c>
      <c r="D27" s="29" t="s">
        <v>544</v>
      </c>
      <c r="E27" s="40">
        <v>2</v>
      </c>
      <c r="F27" s="29" t="s">
        <v>559</v>
      </c>
      <c r="G27" s="40">
        <v>4</v>
      </c>
      <c r="H27" s="29" t="s">
        <v>545</v>
      </c>
      <c r="I27" s="40">
        <v>6</v>
      </c>
      <c r="J27" s="30"/>
      <c r="L27" s="30"/>
      <c r="N27" s="30"/>
      <c r="O27" s="30"/>
      <c r="P27" s="43">
        <v>5</v>
      </c>
      <c r="Q27" s="43">
        <v>6</v>
      </c>
    </row>
    <row r="28" spans="2:17" s="40" customFormat="1" x14ac:dyDescent="0.45">
      <c r="B28" s="29" t="s">
        <v>578</v>
      </c>
      <c r="C28" s="29" t="s">
        <v>555</v>
      </c>
      <c r="D28" s="29" t="s">
        <v>544</v>
      </c>
      <c r="E28" s="40">
        <v>1</v>
      </c>
      <c r="F28" s="30" t="s">
        <v>550</v>
      </c>
      <c r="G28" s="40">
        <v>2</v>
      </c>
      <c r="H28" s="29" t="s">
        <v>544</v>
      </c>
      <c r="I28" s="40">
        <v>3</v>
      </c>
      <c r="J28" s="30" t="s">
        <v>550</v>
      </c>
      <c r="K28" s="40">
        <v>4</v>
      </c>
      <c r="L28" s="29" t="s">
        <v>551</v>
      </c>
      <c r="M28" s="40">
        <v>5</v>
      </c>
      <c r="N28" s="29" t="s">
        <v>551</v>
      </c>
      <c r="O28" s="30">
        <v>6</v>
      </c>
      <c r="P28" s="43">
        <v>3</v>
      </c>
      <c r="Q28" s="43">
        <v>4</v>
      </c>
    </row>
    <row r="29" spans="2:17" s="40" customFormat="1" x14ac:dyDescent="0.45">
      <c r="B29" s="29" t="s">
        <v>579</v>
      </c>
      <c r="C29" s="29" t="s">
        <v>555</v>
      </c>
      <c r="D29" s="29" t="s">
        <v>544</v>
      </c>
      <c r="E29" s="40">
        <v>1</v>
      </c>
      <c r="F29" s="30" t="s">
        <v>550</v>
      </c>
      <c r="G29" s="40">
        <v>2</v>
      </c>
      <c r="H29" s="29" t="s">
        <v>544</v>
      </c>
      <c r="I29" s="40">
        <v>3</v>
      </c>
      <c r="J29" s="30" t="s">
        <v>550</v>
      </c>
      <c r="K29" s="40">
        <v>4</v>
      </c>
      <c r="L29" s="29" t="s">
        <v>551</v>
      </c>
      <c r="M29" s="40">
        <v>5</v>
      </c>
      <c r="N29" s="29" t="s">
        <v>551</v>
      </c>
      <c r="O29" s="30">
        <v>6</v>
      </c>
      <c r="P29" s="43">
        <v>5</v>
      </c>
      <c r="Q29" s="43">
        <v>6</v>
      </c>
    </row>
    <row r="30" spans="2:17" s="40" customFormat="1" x14ac:dyDescent="0.45">
      <c r="B30" s="29" t="s">
        <v>560</v>
      </c>
      <c r="C30" s="29" t="s">
        <v>555</v>
      </c>
      <c r="D30" s="29" t="s">
        <v>544</v>
      </c>
      <c r="E30" s="40">
        <v>1</v>
      </c>
      <c r="F30" s="30" t="s">
        <v>550</v>
      </c>
      <c r="G30" s="40">
        <v>2</v>
      </c>
      <c r="H30" s="29" t="s">
        <v>544</v>
      </c>
      <c r="I30" s="40">
        <v>3</v>
      </c>
      <c r="J30" s="30" t="s">
        <v>550</v>
      </c>
      <c r="K30" s="40">
        <v>4</v>
      </c>
      <c r="L30" s="29" t="s">
        <v>551</v>
      </c>
      <c r="M30" s="40">
        <v>5</v>
      </c>
      <c r="N30" s="29" t="s">
        <v>551</v>
      </c>
      <c r="O30" s="30">
        <v>6</v>
      </c>
      <c r="P30" s="43">
        <v>7</v>
      </c>
      <c r="Q30" s="43">
        <v>7</v>
      </c>
    </row>
    <row r="31" spans="2:17" s="40" customFormat="1" x14ac:dyDescent="0.45">
      <c r="B31" s="29" t="s">
        <v>580</v>
      </c>
      <c r="C31" s="29" t="s">
        <v>555</v>
      </c>
      <c r="D31" s="29" t="s">
        <v>551</v>
      </c>
      <c r="E31" s="40">
        <v>1</v>
      </c>
      <c r="F31" s="29" t="s">
        <v>551</v>
      </c>
      <c r="G31" s="40">
        <v>2</v>
      </c>
      <c r="H31" s="29" t="s">
        <v>551</v>
      </c>
      <c r="I31" s="40">
        <v>3</v>
      </c>
      <c r="J31" s="29" t="s">
        <v>545</v>
      </c>
      <c r="K31" s="40">
        <v>4</v>
      </c>
      <c r="L31" s="29" t="s">
        <v>551</v>
      </c>
      <c r="M31" s="40">
        <v>5</v>
      </c>
      <c r="N31" s="29" t="s">
        <v>545</v>
      </c>
      <c r="O31" s="30">
        <v>6</v>
      </c>
      <c r="P31" s="43">
        <v>3</v>
      </c>
      <c r="Q31" s="43">
        <v>4</v>
      </c>
    </row>
    <row r="32" spans="2:17" s="40" customFormat="1" x14ac:dyDescent="0.45">
      <c r="B32" s="29" t="s">
        <v>581</v>
      </c>
      <c r="C32" s="29" t="s">
        <v>555</v>
      </c>
      <c r="D32" s="29" t="s">
        <v>551</v>
      </c>
      <c r="E32" s="40">
        <v>1</v>
      </c>
      <c r="F32" s="29" t="s">
        <v>551</v>
      </c>
      <c r="G32" s="40">
        <v>2</v>
      </c>
      <c r="H32" s="29" t="s">
        <v>551</v>
      </c>
      <c r="I32" s="40">
        <v>3</v>
      </c>
      <c r="J32" s="29" t="s">
        <v>545</v>
      </c>
      <c r="K32" s="40">
        <v>4</v>
      </c>
      <c r="L32" s="29" t="s">
        <v>551</v>
      </c>
      <c r="M32" s="40">
        <v>5</v>
      </c>
      <c r="N32" s="29" t="s">
        <v>545</v>
      </c>
      <c r="O32" s="30">
        <v>6</v>
      </c>
      <c r="P32" s="43">
        <v>5</v>
      </c>
      <c r="Q32" s="43">
        <v>6</v>
      </c>
    </row>
    <row r="33" spans="1:17" s="40" customFormat="1" x14ac:dyDescent="0.45">
      <c r="B33" s="29" t="s">
        <v>582</v>
      </c>
      <c r="C33" s="29" t="s">
        <v>557</v>
      </c>
      <c r="D33" s="29" t="s">
        <v>544</v>
      </c>
      <c r="E33" s="40">
        <v>2</v>
      </c>
      <c r="F33" s="29" t="s">
        <v>551</v>
      </c>
      <c r="G33" s="40">
        <v>4</v>
      </c>
      <c r="H33" s="29" t="s">
        <v>559</v>
      </c>
      <c r="I33" s="40">
        <v>5</v>
      </c>
      <c r="J33" s="29" t="s">
        <v>551</v>
      </c>
      <c r="K33" s="40">
        <v>6</v>
      </c>
      <c r="L33" s="30"/>
      <c r="N33" s="30"/>
      <c r="O33" s="30"/>
      <c r="P33" s="43">
        <v>5</v>
      </c>
      <c r="Q33" s="43">
        <v>6</v>
      </c>
    </row>
    <row r="34" spans="1:17" s="40" customFormat="1" x14ac:dyDescent="0.45">
      <c r="B34" s="29" t="s">
        <v>583</v>
      </c>
      <c r="C34" s="29" t="s">
        <v>557</v>
      </c>
      <c r="D34" s="29" t="s">
        <v>544</v>
      </c>
      <c r="E34" s="40">
        <v>2</v>
      </c>
      <c r="F34" s="29" t="s">
        <v>551</v>
      </c>
      <c r="G34" s="40">
        <v>4</v>
      </c>
      <c r="H34" s="29" t="s">
        <v>559</v>
      </c>
      <c r="I34" s="40">
        <v>5</v>
      </c>
      <c r="J34" s="29" t="s">
        <v>551</v>
      </c>
      <c r="K34" s="40">
        <v>6</v>
      </c>
      <c r="L34" s="30"/>
      <c r="N34" s="30"/>
      <c r="O34" s="30"/>
      <c r="P34" s="43">
        <v>7</v>
      </c>
      <c r="Q34" s="43">
        <v>7</v>
      </c>
    </row>
    <row r="35" spans="1:17" s="40" customFormat="1" x14ac:dyDescent="0.45">
      <c r="B35" s="29" t="s">
        <v>538</v>
      </c>
      <c r="C35" s="29" t="s">
        <v>556</v>
      </c>
      <c r="D35" s="29" t="s">
        <v>541</v>
      </c>
      <c r="E35" s="40">
        <v>2</v>
      </c>
      <c r="F35" s="30"/>
      <c r="H35" s="30"/>
      <c r="J35" s="30"/>
      <c r="L35" s="30"/>
      <c r="N35" s="30"/>
      <c r="O35" s="30"/>
      <c r="P35" s="43">
        <v>2</v>
      </c>
      <c r="Q35" s="43">
        <v>3</v>
      </c>
    </row>
    <row r="36" spans="1:17" s="40" customFormat="1" x14ac:dyDescent="0.45">
      <c r="B36" s="29" t="s">
        <v>539</v>
      </c>
      <c r="C36" s="29" t="s">
        <v>556</v>
      </c>
      <c r="D36" s="29" t="s">
        <v>543</v>
      </c>
      <c r="E36" s="40">
        <v>2</v>
      </c>
      <c r="F36" s="29" t="s">
        <v>541</v>
      </c>
      <c r="G36" s="40">
        <v>5</v>
      </c>
      <c r="H36" s="30"/>
      <c r="J36" s="30"/>
      <c r="L36" s="30"/>
      <c r="N36" s="30"/>
      <c r="O36" s="30"/>
      <c r="P36" s="43">
        <v>4</v>
      </c>
      <c r="Q36" s="43">
        <v>5</v>
      </c>
    </row>
    <row r="37" spans="1:17" s="40" customFormat="1" x14ac:dyDescent="0.45">
      <c r="B37" s="29" t="s">
        <v>540</v>
      </c>
      <c r="C37" s="29" t="s">
        <v>556</v>
      </c>
      <c r="D37" s="29" t="s">
        <v>541</v>
      </c>
      <c r="E37" s="40">
        <v>2</v>
      </c>
      <c r="F37" s="29" t="s">
        <v>545</v>
      </c>
      <c r="G37" s="40">
        <v>4</v>
      </c>
      <c r="H37" s="29" t="s">
        <v>545</v>
      </c>
      <c r="I37" s="40">
        <v>6</v>
      </c>
      <c r="J37" s="30"/>
      <c r="L37" s="30"/>
      <c r="N37" s="30"/>
      <c r="O37" s="30"/>
      <c r="P37" s="43">
        <v>6</v>
      </c>
      <c r="Q37" s="43">
        <v>7</v>
      </c>
    </row>
    <row r="38" spans="1:17" x14ac:dyDescent="0.45">
      <c r="C38" s="43"/>
      <c r="P38" s="43"/>
      <c r="Q38" s="43"/>
    </row>
    <row r="39" spans="1:17" x14ac:dyDescent="0.45">
      <c r="A39" s="18" t="s">
        <v>186</v>
      </c>
      <c r="B39" s="18" t="s">
        <v>37</v>
      </c>
      <c r="C39" s="27" t="s">
        <v>283</v>
      </c>
      <c r="D39" s="28" t="s">
        <v>282</v>
      </c>
      <c r="E39" s="20" t="s">
        <v>275</v>
      </c>
      <c r="F39" s="28" t="s">
        <v>282</v>
      </c>
      <c r="G39" s="20" t="s">
        <v>275</v>
      </c>
      <c r="H39" s="28" t="s">
        <v>282</v>
      </c>
      <c r="I39" s="20" t="s">
        <v>275</v>
      </c>
      <c r="J39" s="28" t="s">
        <v>282</v>
      </c>
      <c r="K39" s="20" t="s">
        <v>275</v>
      </c>
      <c r="L39" s="28" t="s">
        <v>282</v>
      </c>
      <c r="M39" s="20" t="s">
        <v>275</v>
      </c>
      <c r="N39" s="28" t="s">
        <v>282</v>
      </c>
      <c r="O39" s="20" t="s">
        <v>275</v>
      </c>
      <c r="P39" s="27" t="s">
        <v>284</v>
      </c>
      <c r="Q39" s="27" t="s">
        <v>285</v>
      </c>
    </row>
    <row r="40" spans="1:17" x14ac:dyDescent="0.45">
      <c r="A40" s="18" t="s">
        <v>181</v>
      </c>
    </row>
    <row r="41" spans="1:17" x14ac:dyDescent="0.45">
      <c r="B41" s="32" t="s">
        <v>482</v>
      </c>
      <c r="C41" s="32" t="s">
        <v>481</v>
      </c>
      <c r="D41" s="40"/>
      <c r="E41" s="22">
        <v>1</v>
      </c>
      <c r="F41" s="23">
        <v>4</v>
      </c>
    </row>
    <row r="42" spans="1:17" x14ac:dyDescent="0.45">
      <c r="B42" s="32" t="s">
        <v>483</v>
      </c>
      <c r="C42" s="32" t="s">
        <v>546</v>
      </c>
      <c r="D42" s="40"/>
      <c r="E42" s="22">
        <v>2</v>
      </c>
      <c r="F42" s="23">
        <v>5</v>
      </c>
    </row>
    <row r="43" spans="1:17" x14ac:dyDescent="0.45">
      <c r="B43" s="32" t="s">
        <v>484</v>
      </c>
      <c r="C43" s="32" t="s">
        <v>487</v>
      </c>
      <c r="D43" s="40"/>
      <c r="E43" s="22">
        <v>3</v>
      </c>
      <c r="F43" s="23">
        <v>6</v>
      </c>
    </row>
    <row r="44" spans="1:17" x14ac:dyDescent="0.45">
      <c r="B44" s="32" t="s">
        <v>559</v>
      </c>
      <c r="C44" s="32" t="s">
        <v>488</v>
      </c>
      <c r="D44" s="40"/>
      <c r="E44" s="21"/>
    </row>
    <row r="45" spans="1:17" x14ac:dyDescent="0.45">
      <c r="B45" s="32" t="s">
        <v>541</v>
      </c>
      <c r="C45" s="32" t="s">
        <v>542</v>
      </c>
      <c r="D45" s="40"/>
      <c r="E45" s="40"/>
      <c r="F45" s="40"/>
      <c r="G45" s="40"/>
      <c r="H45" s="40"/>
      <c r="I45" s="40"/>
    </row>
    <row r="46" spans="1:17" x14ac:dyDescent="0.45">
      <c r="D46" s="40"/>
      <c r="E46" s="40"/>
      <c r="F46" s="40"/>
      <c r="G46" s="40"/>
      <c r="H46" s="40"/>
      <c r="I46" s="40"/>
    </row>
    <row r="47" spans="1:17" x14ac:dyDescent="0.45">
      <c r="D47" s="40"/>
      <c r="E47" s="40"/>
      <c r="F47" s="40"/>
      <c r="G47" s="40"/>
      <c r="H47" s="40"/>
      <c r="I47" s="40"/>
    </row>
    <row r="48" spans="1:17" x14ac:dyDescent="0.45">
      <c r="D48" s="40"/>
      <c r="E48" s="40"/>
      <c r="F48" s="40"/>
      <c r="G48" s="40"/>
      <c r="H48" s="40"/>
      <c r="I48" s="40"/>
    </row>
    <row r="49" spans="4:9" x14ac:dyDescent="0.45">
      <c r="D49" s="40"/>
      <c r="E49" s="40"/>
      <c r="F49" s="40"/>
      <c r="G49" s="40"/>
      <c r="H49" s="40"/>
      <c r="I49" s="40"/>
    </row>
    <row r="50" spans="4:9" x14ac:dyDescent="0.45">
      <c r="D50" s="40"/>
      <c r="E50" s="40"/>
      <c r="F50" s="40"/>
      <c r="G50" s="40"/>
      <c r="H50" s="40"/>
      <c r="I50" s="40"/>
    </row>
    <row r="51" spans="4:9" x14ac:dyDescent="0.45">
      <c r="D51" s="40"/>
      <c r="E51" s="40"/>
      <c r="F51" s="40"/>
      <c r="G51" s="40"/>
      <c r="H51" s="40"/>
      <c r="I51" s="40"/>
    </row>
    <row r="52" spans="4:9" x14ac:dyDescent="0.45">
      <c r="D52" s="40"/>
      <c r="E52" s="40"/>
      <c r="F52" s="40"/>
      <c r="G52" s="40"/>
      <c r="H52" s="40"/>
      <c r="I52" s="40"/>
    </row>
    <row r="53" spans="4:9" x14ac:dyDescent="0.45">
      <c r="D53" s="40"/>
      <c r="E53" s="40"/>
      <c r="F53" s="40"/>
      <c r="G53" s="40"/>
      <c r="H53" s="40"/>
      <c r="I53" s="40"/>
    </row>
    <row r="54" spans="4:9" x14ac:dyDescent="0.45">
      <c r="D54" s="40"/>
      <c r="E54" s="40"/>
      <c r="F54" s="40"/>
      <c r="G54" s="40"/>
      <c r="H54" s="40"/>
      <c r="I54" s="40"/>
    </row>
    <row r="55" spans="4:9" x14ac:dyDescent="0.45">
      <c r="D55" s="40"/>
      <c r="E55" s="40"/>
      <c r="F55" s="40"/>
      <c r="G55" s="40"/>
      <c r="H55" s="40"/>
      <c r="I55" s="40"/>
    </row>
    <row r="56" spans="4:9" x14ac:dyDescent="0.45">
      <c r="D56" s="40"/>
      <c r="E56" s="40"/>
      <c r="F56" s="40"/>
      <c r="G56" s="40"/>
      <c r="H56" s="40"/>
      <c r="I56" s="40"/>
    </row>
    <row r="57" spans="4:9" x14ac:dyDescent="0.45">
      <c r="D57" s="40"/>
      <c r="E57" s="40"/>
      <c r="F57" s="40"/>
      <c r="G57" s="40"/>
      <c r="I57" s="40"/>
    </row>
    <row r="58" spans="4:9" x14ac:dyDescent="0.45">
      <c r="D58" s="40"/>
      <c r="E58" s="40"/>
      <c r="F58" s="40"/>
      <c r="G58" s="40"/>
      <c r="H58" s="40"/>
      <c r="I58" s="40"/>
    </row>
    <row r="59" spans="4:9" x14ac:dyDescent="0.45">
      <c r="D59" s="40"/>
      <c r="E59" s="40"/>
      <c r="F59" s="40"/>
      <c r="G59" s="40"/>
      <c r="H59" s="40"/>
      <c r="I59" s="40"/>
    </row>
    <row r="60" spans="4:9" x14ac:dyDescent="0.45">
      <c r="D60" s="40"/>
      <c r="E60" s="40"/>
      <c r="F60" s="40"/>
      <c r="G60" s="40"/>
      <c r="H60" s="40"/>
      <c r="I60" s="40"/>
    </row>
    <row r="61" spans="4:9" x14ac:dyDescent="0.45">
      <c r="D61" s="40"/>
      <c r="E61" s="40"/>
      <c r="F61" s="40"/>
      <c r="G61" s="40"/>
      <c r="H61" s="40"/>
      <c r="I61" s="40"/>
    </row>
    <row r="62" spans="4:9" x14ac:dyDescent="0.45">
      <c r="D62" s="40"/>
      <c r="E62" s="40"/>
      <c r="F62" s="40"/>
      <c r="G62" s="40"/>
      <c r="H62" s="40"/>
      <c r="I62" s="40"/>
    </row>
    <row r="63" spans="4:9" x14ac:dyDescent="0.45">
      <c r="D63" s="40"/>
      <c r="E63" s="40"/>
      <c r="F63" s="40"/>
      <c r="G63" s="40"/>
      <c r="H63" s="40"/>
      <c r="I63" s="40"/>
    </row>
    <row r="64" spans="4:9" x14ac:dyDescent="0.45">
      <c r="D64" s="40"/>
      <c r="E64" s="40"/>
      <c r="F64" s="40"/>
      <c r="G64" s="40"/>
      <c r="H64" s="40"/>
      <c r="I64" s="40"/>
    </row>
    <row r="65" spans="4:9" x14ac:dyDescent="0.45">
      <c r="D65" s="40"/>
      <c r="E65" s="40"/>
      <c r="F65" s="40"/>
      <c r="G65" s="40"/>
      <c r="H65" s="40"/>
      <c r="I65" s="40"/>
    </row>
    <row r="66" spans="4:9" x14ac:dyDescent="0.45">
      <c r="D66" s="40"/>
      <c r="E66" s="40"/>
      <c r="F66" s="40"/>
      <c r="G66" s="40"/>
      <c r="H66" s="40"/>
      <c r="I66" s="40"/>
    </row>
    <row r="67" spans="4:9" x14ac:dyDescent="0.45">
      <c r="D67" s="40"/>
      <c r="E67" s="40"/>
      <c r="F67" s="40"/>
      <c r="G67" s="40"/>
      <c r="H67" s="40"/>
      <c r="I67" s="40"/>
    </row>
    <row r="68" spans="4:9" x14ac:dyDescent="0.45">
      <c r="D68" s="40"/>
      <c r="E68" s="40"/>
      <c r="F68" s="40"/>
      <c r="G68" s="40"/>
      <c r="H68" s="40"/>
      <c r="I68" s="40"/>
    </row>
    <row r="69" spans="4:9" x14ac:dyDescent="0.45">
      <c r="D69" s="40"/>
      <c r="E69" s="40"/>
      <c r="F69" s="40"/>
      <c r="G69" s="40"/>
      <c r="H69" s="40"/>
      <c r="I69" s="40"/>
    </row>
    <row r="70" spans="4:9" x14ac:dyDescent="0.45">
      <c r="D70" s="40"/>
      <c r="E70" s="40"/>
      <c r="F70" s="40"/>
      <c r="G70" s="40"/>
      <c r="H70" s="40"/>
      <c r="I70" s="40"/>
    </row>
    <row r="71" spans="4:9" x14ac:dyDescent="0.45">
      <c r="D71" s="40"/>
      <c r="E71" s="40"/>
      <c r="F71" s="40"/>
      <c r="G71" s="40"/>
      <c r="H71" s="40"/>
      <c r="I71" s="40"/>
    </row>
    <row r="72" spans="4:9" x14ac:dyDescent="0.45">
      <c r="D72" s="40"/>
      <c r="E72" s="40"/>
      <c r="F72" s="40"/>
      <c r="G72" s="40"/>
      <c r="H72" s="40"/>
      <c r="I72" s="40"/>
    </row>
    <row r="73" spans="4:9" x14ac:dyDescent="0.45">
      <c r="D73" s="40"/>
      <c r="E73" s="40"/>
      <c r="F73" s="40"/>
      <c r="G73" s="40"/>
      <c r="H73" s="40"/>
      <c r="I73" s="40"/>
    </row>
    <row r="74" spans="4:9" x14ac:dyDescent="0.45">
      <c r="D74" s="40"/>
      <c r="E74" s="40"/>
      <c r="F74" s="40"/>
      <c r="G74" s="40"/>
      <c r="H74" s="40"/>
      <c r="I74" s="40"/>
    </row>
    <row r="75" spans="4:9" x14ac:dyDescent="0.45">
      <c r="D75" s="40"/>
      <c r="E75" s="40"/>
      <c r="F75" s="40"/>
      <c r="G75" s="40"/>
      <c r="H75" s="40"/>
      <c r="I75" s="40"/>
    </row>
  </sheetData>
  <mergeCells count="1">
    <mergeCell ref="B2:D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BB537-D2E1-4D20-A494-C05A81D52093}">
  <dimension ref="A1:Z40"/>
  <sheetViews>
    <sheetView zoomScaleNormal="100" workbookViewId="0"/>
  </sheetViews>
  <sheetFormatPr defaultColWidth="9" defaultRowHeight="17" x14ac:dyDescent="0.45"/>
  <cols>
    <col min="1" max="1" width="10.5" style="11" bestFit="1" customWidth="1"/>
    <col min="2" max="4" width="15.58203125" style="11" customWidth="1"/>
    <col min="5" max="5" width="33.4140625" style="11" bestFit="1" customWidth="1"/>
    <col min="6" max="6" width="50" style="11" customWidth="1"/>
    <col min="7" max="7" width="15.58203125" style="11" customWidth="1"/>
    <col min="8" max="8" width="27.6640625" style="11" customWidth="1"/>
    <col min="9" max="12" width="15.58203125" style="11" customWidth="1"/>
    <col min="13" max="13" width="37.75" style="11" bestFit="1" customWidth="1"/>
    <col min="14" max="14" width="44.9140625" style="11" bestFit="1" customWidth="1"/>
    <col min="15" max="15" width="25" style="11" customWidth="1"/>
    <col min="16" max="16" width="24.58203125" style="11" customWidth="1"/>
    <col min="17" max="17" width="24.33203125" style="11" customWidth="1"/>
    <col min="18" max="18" width="22.83203125" style="11" bestFit="1" customWidth="1"/>
    <col min="19" max="19" width="15.58203125" style="11" customWidth="1"/>
    <col min="20" max="20" width="22.83203125" style="11" bestFit="1" customWidth="1"/>
    <col min="21" max="62" width="15.58203125" style="11" customWidth="1"/>
    <col min="63" max="16384" width="9" style="11"/>
  </cols>
  <sheetData>
    <row r="1" spans="1:26" x14ac:dyDescent="0.45">
      <c r="A1" s="11" t="s">
        <v>181</v>
      </c>
    </row>
    <row r="2" spans="1:26" x14ac:dyDescent="0.45">
      <c r="B2" s="53" t="s">
        <v>223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</row>
    <row r="4" spans="1:26" x14ac:dyDescent="0.45">
      <c r="A4" s="7" t="s">
        <v>182</v>
      </c>
      <c r="B4" s="7" t="s">
        <v>19</v>
      </c>
      <c r="C4" s="7" t="s">
        <v>19</v>
      </c>
      <c r="D4" s="7" t="s">
        <v>18</v>
      </c>
      <c r="E4" s="7" t="s">
        <v>19</v>
      </c>
      <c r="F4" s="7" t="s">
        <v>19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22</v>
      </c>
      <c r="M4" s="10" t="s">
        <v>18</v>
      </c>
      <c r="N4" s="10" t="s">
        <v>18</v>
      </c>
      <c r="O4" s="7" t="s">
        <v>183</v>
      </c>
      <c r="P4" s="7" t="s">
        <v>183</v>
      </c>
      <c r="Q4" s="7" t="s">
        <v>183</v>
      </c>
      <c r="R4" s="7" t="s">
        <v>183</v>
      </c>
      <c r="S4" s="7" t="s">
        <v>183</v>
      </c>
      <c r="T4" s="7" t="s">
        <v>183</v>
      </c>
      <c r="U4" s="7" t="s">
        <v>183</v>
      </c>
      <c r="V4" s="7" t="s">
        <v>183</v>
      </c>
      <c r="W4" s="7" t="s">
        <v>183</v>
      </c>
      <c r="X4" s="7" t="s">
        <v>183</v>
      </c>
      <c r="Y4" s="7" t="s">
        <v>19</v>
      </c>
      <c r="Z4" s="47" t="s">
        <v>19</v>
      </c>
    </row>
    <row r="5" spans="1:26" x14ac:dyDescent="0.45">
      <c r="A5" s="7" t="s">
        <v>184</v>
      </c>
      <c r="B5" s="11" t="s">
        <v>13</v>
      </c>
      <c r="C5" s="11" t="s">
        <v>0</v>
      </c>
      <c r="D5" s="11" t="s">
        <v>179</v>
      </c>
      <c r="E5" s="11" t="s">
        <v>9</v>
      </c>
      <c r="F5" s="11" t="s">
        <v>11</v>
      </c>
      <c r="G5" s="11" t="s">
        <v>113</v>
      </c>
      <c r="H5" s="11" t="s">
        <v>56</v>
      </c>
      <c r="I5" s="11" t="s">
        <v>57</v>
      </c>
      <c r="J5" s="11" t="s">
        <v>117</v>
      </c>
      <c r="K5" s="11" t="s">
        <v>58</v>
      </c>
      <c r="L5" s="11" t="s">
        <v>75</v>
      </c>
      <c r="M5" s="11" t="s">
        <v>76</v>
      </c>
      <c r="N5" s="11" t="s">
        <v>77</v>
      </c>
      <c r="O5" s="11" t="s">
        <v>158</v>
      </c>
      <c r="P5" s="11" t="s">
        <v>157</v>
      </c>
      <c r="Q5" s="11" t="s">
        <v>159</v>
      </c>
      <c r="R5" s="11" t="s">
        <v>160</v>
      </c>
      <c r="S5" s="11" t="s">
        <v>161</v>
      </c>
      <c r="T5" s="11" t="s">
        <v>162</v>
      </c>
      <c r="U5" s="11" t="s">
        <v>163</v>
      </c>
      <c r="V5" s="11" t="s">
        <v>164</v>
      </c>
      <c r="W5" s="11" t="s">
        <v>224</v>
      </c>
      <c r="X5" s="11" t="s">
        <v>225</v>
      </c>
      <c r="Y5" s="11" t="s">
        <v>343</v>
      </c>
      <c r="Z5" s="48" t="s">
        <v>351</v>
      </c>
    </row>
    <row r="6" spans="1:26" x14ac:dyDescent="0.45">
      <c r="A6" s="7" t="s">
        <v>185</v>
      </c>
      <c r="B6" s="45" t="s">
        <v>322</v>
      </c>
      <c r="C6" s="45" t="s">
        <v>320</v>
      </c>
      <c r="D6" s="45">
        <v>1</v>
      </c>
      <c r="E6" s="45" t="s">
        <v>335</v>
      </c>
      <c r="F6" s="45" t="s">
        <v>173</v>
      </c>
      <c r="G6" s="45">
        <v>0</v>
      </c>
      <c r="H6" s="45">
        <v>0</v>
      </c>
      <c r="I6" s="45">
        <v>0</v>
      </c>
      <c r="J6" s="45">
        <v>0</v>
      </c>
      <c r="K6" s="45">
        <v>0</v>
      </c>
      <c r="L6" s="45"/>
      <c r="M6" s="45"/>
      <c r="N6" s="45"/>
      <c r="O6" s="36">
        <v>1</v>
      </c>
      <c r="P6" s="36"/>
      <c r="Q6" s="44">
        <f>O6+10%</f>
        <v>1.1000000000000001</v>
      </c>
      <c r="R6" s="44"/>
      <c r="S6" s="36">
        <f>Q6+10%</f>
        <v>1.2000000000000002</v>
      </c>
      <c r="T6" s="44"/>
      <c r="U6" s="44">
        <f>S6+10%</f>
        <v>1.3000000000000003</v>
      </c>
      <c r="V6" s="44"/>
      <c r="W6" s="36">
        <f>U6+10%</f>
        <v>1.4000000000000004</v>
      </c>
      <c r="X6" s="44"/>
      <c r="Y6" s="32"/>
      <c r="Z6" s="48" t="s">
        <v>347</v>
      </c>
    </row>
    <row r="7" spans="1:26" s="25" customFormat="1" x14ac:dyDescent="0.45">
      <c r="A7" s="7"/>
      <c r="B7" s="45" t="s">
        <v>324</v>
      </c>
      <c r="C7" s="45" t="s">
        <v>320</v>
      </c>
      <c r="D7" s="45">
        <v>2</v>
      </c>
      <c r="E7" s="45" t="s">
        <v>337</v>
      </c>
      <c r="F7" s="45" t="s">
        <v>384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 t="s">
        <v>132</v>
      </c>
      <c r="M7" s="45">
        <v>0</v>
      </c>
      <c r="N7" s="45"/>
      <c r="O7" s="36">
        <v>1</v>
      </c>
      <c r="P7" s="36">
        <v>0.2</v>
      </c>
      <c r="Q7" s="44">
        <f t="shared" ref="Q7:Q37" si="0">O7+10%</f>
        <v>1.1000000000000001</v>
      </c>
      <c r="R7" s="44">
        <f t="shared" ref="R7:X37" si="1">P7+10%</f>
        <v>0.30000000000000004</v>
      </c>
      <c r="S7" s="36">
        <f t="shared" ref="S7:S37" si="2">Q7+10%</f>
        <v>1.2000000000000002</v>
      </c>
      <c r="T7" s="44">
        <f t="shared" si="1"/>
        <v>0.4</v>
      </c>
      <c r="U7" s="44">
        <f t="shared" ref="U7:U37" si="3">S7+10%</f>
        <v>1.3000000000000003</v>
      </c>
      <c r="V7" s="44">
        <f t="shared" si="1"/>
        <v>0.5</v>
      </c>
      <c r="W7" s="36">
        <f t="shared" ref="W7:W37" si="4">U7+10%</f>
        <v>1.4000000000000004</v>
      </c>
      <c r="X7" s="44">
        <f t="shared" si="1"/>
        <v>0.6</v>
      </c>
      <c r="Y7" s="32"/>
      <c r="Z7" s="48" t="s">
        <v>348</v>
      </c>
    </row>
    <row r="8" spans="1:26" s="25" customFormat="1" x14ac:dyDescent="0.45">
      <c r="A8" s="7"/>
      <c r="B8" s="45" t="s">
        <v>325</v>
      </c>
      <c r="C8" s="45" t="s">
        <v>320</v>
      </c>
      <c r="D8" s="45">
        <v>3</v>
      </c>
      <c r="E8" s="45" t="s">
        <v>339</v>
      </c>
      <c r="F8" s="45" t="s">
        <v>176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 t="s">
        <v>80</v>
      </c>
      <c r="M8" s="45">
        <v>0</v>
      </c>
      <c r="N8" s="45">
        <v>1</v>
      </c>
      <c r="O8" s="36">
        <v>0.6</v>
      </c>
      <c r="P8" s="36">
        <v>0.8</v>
      </c>
      <c r="Q8" s="44">
        <f t="shared" si="0"/>
        <v>0.7</v>
      </c>
      <c r="R8" s="44">
        <f t="shared" si="1"/>
        <v>0.9</v>
      </c>
      <c r="S8" s="36">
        <f t="shared" si="2"/>
        <v>0.79999999999999993</v>
      </c>
      <c r="T8" s="44">
        <f t="shared" si="1"/>
        <v>1</v>
      </c>
      <c r="U8" s="44">
        <f t="shared" si="3"/>
        <v>0.89999999999999991</v>
      </c>
      <c r="V8" s="44">
        <f t="shared" si="1"/>
        <v>1.1000000000000001</v>
      </c>
      <c r="W8" s="36">
        <f t="shared" si="4"/>
        <v>0.99999999999999989</v>
      </c>
      <c r="X8" s="44">
        <f t="shared" si="1"/>
        <v>1.2000000000000002</v>
      </c>
      <c r="Y8" s="32"/>
      <c r="Z8" s="48" t="s">
        <v>349</v>
      </c>
    </row>
    <row r="9" spans="1:26" s="25" customFormat="1" x14ac:dyDescent="0.45">
      <c r="A9" s="7"/>
      <c r="B9" s="45" t="s">
        <v>326</v>
      </c>
      <c r="C9" s="45" t="s">
        <v>320</v>
      </c>
      <c r="D9" s="45">
        <v>4</v>
      </c>
      <c r="E9" s="45" t="s">
        <v>341</v>
      </c>
      <c r="F9" s="45" t="s">
        <v>385</v>
      </c>
      <c r="G9" s="45">
        <v>0</v>
      </c>
      <c r="H9" s="45">
        <v>0</v>
      </c>
      <c r="I9" s="45">
        <v>0</v>
      </c>
      <c r="J9" s="45">
        <v>0</v>
      </c>
      <c r="K9" s="45">
        <v>2</v>
      </c>
      <c r="L9" s="45"/>
      <c r="M9" s="45"/>
      <c r="N9" s="45"/>
      <c r="O9" s="36">
        <v>0.5</v>
      </c>
      <c r="P9" s="36"/>
      <c r="Q9" s="44">
        <f t="shared" si="0"/>
        <v>0.6</v>
      </c>
      <c r="R9" s="44"/>
      <c r="S9" s="36">
        <f t="shared" si="2"/>
        <v>0.7</v>
      </c>
      <c r="T9" s="44"/>
      <c r="U9" s="44">
        <f t="shared" si="3"/>
        <v>0.79999999999999993</v>
      </c>
      <c r="V9" s="44"/>
      <c r="W9" s="36">
        <f t="shared" si="4"/>
        <v>0.89999999999999991</v>
      </c>
      <c r="X9" s="44"/>
      <c r="Y9" s="32"/>
      <c r="Z9" s="48" t="s">
        <v>347</v>
      </c>
    </row>
    <row r="10" spans="1:26" s="25" customFormat="1" x14ac:dyDescent="0.45">
      <c r="A10" s="7"/>
      <c r="B10" s="45" t="s">
        <v>328</v>
      </c>
      <c r="C10" s="45" t="s">
        <v>320</v>
      </c>
      <c r="D10" s="45">
        <v>5</v>
      </c>
      <c r="E10" s="45" t="s">
        <v>336</v>
      </c>
      <c r="F10" s="45" t="s">
        <v>173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/>
      <c r="M10" s="45"/>
      <c r="N10" s="45"/>
      <c r="O10" s="36">
        <v>1.2</v>
      </c>
      <c r="P10" s="36"/>
      <c r="Q10" s="44">
        <f t="shared" si="0"/>
        <v>1.3</v>
      </c>
      <c r="R10" s="44"/>
      <c r="S10" s="36">
        <f t="shared" si="2"/>
        <v>1.4000000000000001</v>
      </c>
      <c r="T10" s="44"/>
      <c r="U10" s="44">
        <f t="shared" si="3"/>
        <v>1.5000000000000002</v>
      </c>
      <c r="V10" s="44"/>
      <c r="W10" s="36">
        <f t="shared" si="4"/>
        <v>1.6000000000000003</v>
      </c>
      <c r="X10" s="44"/>
      <c r="Y10" s="32" t="s">
        <v>322</v>
      </c>
      <c r="Z10" s="48" t="s">
        <v>347</v>
      </c>
    </row>
    <row r="11" spans="1:26" s="25" customFormat="1" x14ac:dyDescent="0.45">
      <c r="A11" s="7"/>
      <c r="B11" s="45" t="s">
        <v>330</v>
      </c>
      <c r="C11" s="45" t="s">
        <v>320</v>
      </c>
      <c r="D11" s="45">
        <v>6</v>
      </c>
      <c r="E11" s="45" t="s">
        <v>338</v>
      </c>
      <c r="F11" s="45" t="s">
        <v>384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 t="s">
        <v>132</v>
      </c>
      <c r="M11" s="45">
        <v>0</v>
      </c>
      <c r="N11" s="45"/>
      <c r="O11" s="36">
        <v>1.2</v>
      </c>
      <c r="P11" s="36">
        <v>0.2</v>
      </c>
      <c r="Q11" s="44">
        <f t="shared" si="0"/>
        <v>1.3</v>
      </c>
      <c r="R11" s="44">
        <f t="shared" si="1"/>
        <v>0.30000000000000004</v>
      </c>
      <c r="S11" s="36">
        <f t="shared" si="2"/>
        <v>1.4000000000000001</v>
      </c>
      <c r="T11" s="44">
        <f t="shared" si="1"/>
        <v>0.4</v>
      </c>
      <c r="U11" s="44">
        <f t="shared" si="3"/>
        <v>1.5000000000000002</v>
      </c>
      <c r="V11" s="44">
        <f t="shared" si="1"/>
        <v>0.5</v>
      </c>
      <c r="W11" s="36">
        <f t="shared" si="4"/>
        <v>1.6000000000000003</v>
      </c>
      <c r="X11" s="44">
        <f t="shared" si="1"/>
        <v>0.6</v>
      </c>
      <c r="Y11" s="32" t="s">
        <v>324</v>
      </c>
      <c r="Z11" s="48" t="s">
        <v>350</v>
      </c>
    </row>
    <row r="12" spans="1:26" s="25" customFormat="1" x14ac:dyDescent="0.45">
      <c r="A12" s="7"/>
      <c r="B12" s="45" t="s">
        <v>332</v>
      </c>
      <c r="C12" s="45" t="s">
        <v>320</v>
      </c>
      <c r="D12" s="45">
        <v>7</v>
      </c>
      <c r="E12" s="45" t="s">
        <v>340</v>
      </c>
      <c r="F12" s="45" t="s">
        <v>176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 t="s">
        <v>80</v>
      </c>
      <c r="M12" s="45">
        <v>0</v>
      </c>
      <c r="N12" s="45">
        <v>1</v>
      </c>
      <c r="O12" s="36">
        <v>0.7</v>
      </c>
      <c r="P12" s="36">
        <v>0.9</v>
      </c>
      <c r="Q12" s="44">
        <f t="shared" si="0"/>
        <v>0.79999999999999993</v>
      </c>
      <c r="R12" s="44">
        <f t="shared" si="1"/>
        <v>1</v>
      </c>
      <c r="S12" s="36">
        <f t="shared" si="2"/>
        <v>0.89999999999999991</v>
      </c>
      <c r="T12" s="44">
        <f t="shared" si="1"/>
        <v>1.1000000000000001</v>
      </c>
      <c r="U12" s="44">
        <f t="shared" si="3"/>
        <v>0.99999999999999989</v>
      </c>
      <c r="V12" s="44">
        <f t="shared" si="1"/>
        <v>1.2000000000000002</v>
      </c>
      <c r="W12" s="36">
        <f t="shared" si="4"/>
        <v>1.0999999999999999</v>
      </c>
      <c r="X12" s="44">
        <f t="shared" si="1"/>
        <v>1.3000000000000003</v>
      </c>
      <c r="Y12" s="32" t="s">
        <v>325</v>
      </c>
      <c r="Z12" s="48" t="s">
        <v>349</v>
      </c>
    </row>
    <row r="13" spans="1:26" s="25" customFormat="1" x14ac:dyDescent="0.45">
      <c r="A13" s="7"/>
      <c r="B13" s="45" t="s">
        <v>334</v>
      </c>
      <c r="C13" s="45" t="s">
        <v>320</v>
      </c>
      <c r="D13" s="45">
        <v>8</v>
      </c>
      <c r="E13" s="45" t="s">
        <v>342</v>
      </c>
      <c r="F13" s="45" t="s">
        <v>385</v>
      </c>
      <c r="G13" s="45">
        <v>0</v>
      </c>
      <c r="H13" s="45">
        <v>0</v>
      </c>
      <c r="I13" s="45">
        <v>0</v>
      </c>
      <c r="J13" s="45">
        <v>0</v>
      </c>
      <c r="K13" s="45">
        <v>2</v>
      </c>
      <c r="L13" s="45"/>
      <c r="M13" s="45"/>
      <c r="N13" s="45"/>
      <c r="O13" s="36">
        <v>0.6</v>
      </c>
      <c r="P13" s="36"/>
      <c r="Q13" s="44">
        <f t="shared" si="0"/>
        <v>0.7</v>
      </c>
      <c r="R13" s="44"/>
      <c r="S13" s="36">
        <f t="shared" si="2"/>
        <v>0.79999999999999993</v>
      </c>
      <c r="T13" s="44"/>
      <c r="U13" s="44">
        <f t="shared" si="3"/>
        <v>0.89999999999999991</v>
      </c>
      <c r="V13" s="44"/>
      <c r="W13" s="36">
        <f t="shared" si="4"/>
        <v>0.99999999999999989</v>
      </c>
      <c r="X13" s="44"/>
      <c r="Y13" s="32" t="s">
        <v>326</v>
      </c>
      <c r="Z13" s="48" t="s">
        <v>347</v>
      </c>
    </row>
    <row r="14" spans="1:26" s="25" customFormat="1" x14ac:dyDescent="0.45">
      <c r="A14" s="7"/>
      <c r="B14" s="45" t="s">
        <v>387</v>
      </c>
      <c r="C14" s="45" t="s">
        <v>402</v>
      </c>
      <c r="D14" s="45">
        <v>1</v>
      </c>
      <c r="E14" s="45" t="s">
        <v>403</v>
      </c>
      <c r="F14" s="45" t="s">
        <v>174</v>
      </c>
      <c r="G14" s="45">
        <v>0</v>
      </c>
      <c r="H14" s="45">
        <v>0</v>
      </c>
      <c r="I14" s="45">
        <v>1</v>
      </c>
      <c r="J14" s="45">
        <v>1</v>
      </c>
      <c r="K14" s="45">
        <v>0</v>
      </c>
      <c r="L14" s="45"/>
      <c r="M14" s="45"/>
      <c r="N14" s="45"/>
      <c r="O14" s="36">
        <v>1</v>
      </c>
      <c r="P14" s="36"/>
      <c r="Q14" s="44">
        <f t="shared" si="0"/>
        <v>1.1000000000000001</v>
      </c>
      <c r="R14" s="44"/>
      <c r="S14" s="36">
        <f t="shared" si="2"/>
        <v>1.2000000000000002</v>
      </c>
      <c r="T14" s="44"/>
      <c r="U14" s="44">
        <f t="shared" si="3"/>
        <v>1.3000000000000003</v>
      </c>
      <c r="V14" s="44"/>
      <c r="W14" s="36">
        <f t="shared" si="4"/>
        <v>1.4000000000000004</v>
      </c>
      <c r="X14" s="44"/>
      <c r="Y14" s="32"/>
      <c r="Z14" s="48" t="s">
        <v>414</v>
      </c>
    </row>
    <row r="15" spans="1:26" s="25" customFormat="1" x14ac:dyDescent="0.45">
      <c r="A15" s="7"/>
      <c r="B15" s="45" t="s">
        <v>389</v>
      </c>
      <c r="C15" s="45" t="s">
        <v>402</v>
      </c>
      <c r="D15" s="45">
        <v>2</v>
      </c>
      <c r="E15" s="45" t="s">
        <v>405</v>
      </c>
      <c r="F15" s="45" t="s">
        <v>411</v>
      </c>
      <c r="G15" s="45">
        <v>0</v>
      </c>
      <c r="H15" s="45">
        <v>0</v>
      </c>
      <c r="I15" s="45">
        <v>1</v>
      </c>
      <c r="J15" s="45">
        <v>1</v>
      </c>
      <c r="K15" s="45">
        <v>0</v>
      </c>
      <c r="L15" s="45" t="s">
        <v>479</v>
      </c>
      <c r="M15" s="45">
        <v>1</v>
      </c>
      <c r="N15" s="45">
        <v>1</v>
      </c>
      <c r="O15" s="36">
        <v>0.9</v>
      </c>
      <c r="P15" s="36">
        <v>0.3</v>
      </c>
      <c r="Q15" s="44">
        <f t="shared" si="0"/>
        <v>1</v>
      </c>
      <c r="R15" s="44">
        <f t="shared" si="1"/>
        <v>0.4</v>
      </c>
      <c r="S15" s="36">
        <f t="shared" si="2"/>
        <v>1.1000000000000001</v>
      </c>
      <c r="T15" s="44">
        <f t="shared" si="1"/>
        <v>0.5</v>
      </c>
      <c r="U15" s="44">
        <f t="shared" si="3"/>
        <v>1.2000000000000002</v>
      </c>
      <c r="V15" s="44">
        <f t="shared" si="1"/>
        <v>0.6</v>
      </c>
      <c r="W15" s="36">
        <f t="shared" si="4"/>
        <v>1.3000000000000003</v>
      </c>
      <c r="X15" s="44">
        <f t="shared" si="1"/>
        <v>0.7</v>
      </c>
      <c r="Y15" s="32"/>
      <c r="Z15" s="48" t="s">
        <v>415</v>
      </c>
    </row>
    <row r="16" spans="1:26" s="25" customFormat="1" x14ac:dyDescent="0.45">
      <c r="A16" s="7"/>
      <c r="B16" s="45" t="s">
        <v>391</v>
      </c>
      <c r="C16" s="45" t="s">
        <v>402</v>
      </c>
      <c r="D16" s="45">
        <v>3</v>
      </c>
      <c r="E16" s="45" t="s">
        <v>407</v>
      </c>
      <c r="F16" s="45" t="s">
        <v>412</v>
      </c>
      <c r="G16" s="45">
        <v>0</v>
      </c>
      <c r="H16" s="45">
        <v>0</v>
      </c>
      <c r="I16" s="45">
        <v>1</v>
      </c>
      <c r="J16" s="45">
        <v>1</v>
      </c>
      <c r="K16" s="45">
        <v>1</v>
      </c>
      <c r="L16" s="45" t="s">
        <v>131</v>
      </c>
      <c r="M16" s="45">
        <v>0</v>
      </c>
      <c r="N16" s="45"/>
      <c r="O16" s="36">
        <v>0.6</v>
      </c>
      <c r="P16" s="36"/>
      <c r="Q16" s="44">
        <f t="shared" si="0"/>
        <v>0.7</v>
      </c>
      <c r="R16" s="44"/>
      <c r="S16" s="36">
        <f t="shared" si="2"/>
        <v>0.79999999999999993</v>
      </c>
      <c r="T16" s="44"/>
      <c r="U16" s="44">
        <f t="shared" si="3"/>
        <v>0.89999999999999991</v>
      </c>
      <c r="V16" s="44"/>
      <c r="W16" s="36">
        <f t="shared" si="4"/>
        <v>0.99999999999999989</v>
      </c>
      <c r="X16" s="44"/>
      <c r="Y16" s="32"/>
      <c r="Z16" s="48" t="s">
        <v>416</v>
      </c>
    </row>
    <row r="17" spans="1:26" s="25" customFormat="1" x14ac:dyDescent="0.45">
      <c r="A17" s="7"/>
      <c r="B17" s="45" t="s">
        <v>393</v>
      </c>
      <c r="C17" s="45" t="s">
        <v>402</v>
      </c>
      <c r="D17" s="45">
        <v>4</v>
      </c>
      <c r="E17" s="45" t="s">
        <v>409</v>
      </c>
      <c r="F17" s="45" t="s">
        <v>413</v>
      </c>
      <c r="G17" s="45">
        <v>0</v>
      </c>
      <c r="H17" s="45">
        <v>0</v>
      </c>
      <c r="I17" s="45">
        <v>1</v>
      </c>
      <c r="J17" s="45">
        <v>1</v>
      </c>
      <c r="K17" s="45">
        <v>2</v>
      </c>
      <c r="L17" s="45"/>
      <c r="M17" s="45"/>
      <c r="N17" s="45"/>
      <c r="O17" s="36">
        <v>0.6</v>
      </c>
      <c r="P17" s="36">
        <v>0.05</v>
      </c>
      <c r="Q17" s="44">
        <f t="shared" si="0"/>
        <v>0.7</v>
      </c>
      <c r="R17" s="44">
        <f t="shared" si="1"/>
        <v>0.15000000000000002</v>
      </c>
      <c r="S17" s="36">
        <f t="shared" si="2"/>
        <v>0.79999999999999993</v>
      </c>
      <c r="T17" s="44">
        <f t="shared" si="1"/>
        <v>0.25</v>
      </c>
      <c r="U17" s="44">
        <f t="shared" si="3"/>
        <v>0.89999999999999991</v>
      </c>
      <c r="V17" s="44">
        <f t="shared" si="1"/>
        <v>0.35</v>
      </c>
      <c r="W17" s="36">
        <f t="shared" si="4"/>
        <v>0.99999999999999989</v>
      </c>
      <c r="X17" s="44">
        <f t="shared" si="1"/>
        <v>0.44999999999999996</v>
      </c>
      <c r="Y17" s="32"/>
      <c r="Z17" s="48" t="s">
        <v>416</v>
      </c>
    </row>
    <row r="18" spans="1:26" s="25" customFormat="1" x14ac:dyDescent="0.45">
      <c r="A18" s="7"/>
      <c r="B18" s="45" t="s">
        <v>395</v>
      </c>
      <c r="C18" s="45" t="s">
        <v>402</v>
      </c>
      <c r="D18" s="45">
        <v>5</v>
      </c>
      <c r="E18" s="45" t="s">
        <v>404</v>
      </c>
      <c r="F18" s="45" t="s">
        <v>174</v>
      </c>
      <c r="G18" s="45">
        <v>0</v>
      </c>
      <c r="H18" s="45">
        <v>0</v>
      </c>
      <c r="I18" s="45">
        <v>1</v>
      </c>
      <c r="J18" s="45">
        <v>1</v>
      </c>
      <c r="K18" s="45">
        <v>0</v>
      </c>
      <c r="L18" s="45"/>
      <c r="M18" s="45"/>
      <c r="N18" s="45"/>
      <c r="O18" s="36">
        <v>1.2</v>
      </c>
      <c r="P18" s="36"/>
      <c r="Q18" s="44">
        <f t="shared" si="0"/>
        <v>1.3</v>
      </c>
      <c r="R18" s="44"/>
      <c r="S18" s="36">
        <f t="shared" si="2"/>
        <v>1.4000000000000001</v>
      </c>
      <c r="T18" s="44"/>
      <c r="U18" s="44">
        <f t="shared" si="3"/>
        <v>1.5000000000000002</v>
      </c>
      <c r="V18" s="44"/>
      <c r="W18" s="36">
        <f t="shared" si="4"/>
        <v>1.6000000000000003</v>
      </c>
      <c r="X18" s="44"/>
      <c r="Y18" s="32" t="s">
        <v>387</v>
      </c>
      <c r="Z18" s="48" t="s">
        <v>414</v>
      </c>
    </row>
    <row r="19" spans="1:26" s="25" customFormat="1" x14ac:dyDescent="0.45">
      <c r="A19" s="7"/>
      <c r="B19" s="45" t="s">
        <v>397</v>
      </c>
      <c r="C19" s="45" t="s">
        <v>402</v>
      </c>
      <c r="D19" s="45">
        <v>6</v>
      </c>
      <c r="E19" s="45" t="s">
        <v>406</v>
      </c>
      <c r="F19" s="45" t="s">
        <v>411</v>
      </c>
      <c r="G19" s="45">
        <v>0</v>
      </c>
      <c r="H19" s="45">
        <v>0</v>
      </c>
      <c r="I19" s="45">
        <v>1</v>
      </c>
      <c r="J19" s="45">
        <v>1</v>
      </c>
      <c r="K19" s="45">
        <v>0</v>
      </c>
      <c r="L19" s="45" t="s">
        <v>479</v>
      </c>
      <c r="M19" s="45">
        <v>1</v>
      </c>
      <c r="N19" s="45">
        <v>1</v>
      </c>
      <c r="O19" s="36">
        <v>1</v>
      </c>
      <c r="P19" s="36">
        <v>0.4</v>
      </c>
      <c r="Q19" s="44">
        <f t="shared" si="0"/>
        <v>1.1000000000000001</v>
      </c>
      <c r="R19" s="44">
        <f t="shared" si="1"/>
        <v>0.5</v>
      </c>
      <c r="S19" s="36">
        <f t="shared" si="2"/>
        <v>1.2000000000000002</v>
      </c>
      <c r="T19" s="44">
        <f t="shared" si="1"/>
        <v>0.6</v>
      </c>
      <c r="U19" s="44">
        <f t="shared" si="3"/>
        <v>1.3000000000000003</v>
      </c>
      <c r="V19" s="44">
        <f t="shared" si="1"/>
        <v>0.7</v>
      </c>
      <c r="W19" s="36">
        <f t="shared" si="4"/>
        <v>1.4000000000000004</v>
      </c>
      <c r="X19" s="44">
        <f t="shared" si="1"/>
        <v>0.79999999999999993</v>
      </c>
      <c r="Y19" s="32" t="s">
        <v>389</v>
      </c>
      <c r="Z19" s="48" t="s">
        <v>415</v>
      </c>
    </row>
    <row r="20" spans="1:26" s="25" customFormat="1" x14ac:dyDescent="0.45">
      <c r="A20" s="7"/>
      <c r="B20" s="45" t="s">
        <v>399</v>
      </c>
      <c r="C20" s="45" t="s">
        <v>402</v>
      </c>
      <c r="D20" s="45">
        <v>7</v>
      </c>
      <c r="E20" s="45" t="s">
        <v>408</v>
      </c>
      <c r="F20" s="45" t="s">
        <v>412</v>
      </c>
      <c r="G20" s="45">
        <v>0</v>
      </c>
      <c r="H20" s="45">
        <v>0</v>
      </c>
      <c r="I20" s="45">
        <v>1</v>
      </c>
      <c r="J20" s="45">
        <v>1</v>
      </c>
      <c r="K20" s="45">
        <v>1</v>
      </c>
      <c r="L20" s="45" t="s">
        <v>131</v>
      </c>
      <c r="M20" s="45"/>
      <c r="N20" s="45"/>
      <c r="O20" s="36">
        <v>0.7</v>
      </c>
      <c r="P20" s="36"/>
      <c r="Q20" s="44">
        <f t="shared" si="0"/>
        <v>0.79999999999999993</v>
      </c>
      <c r="R20" s="44"/>
      <c r="S20" s="36">
        <f t="shared" si="2"/>
        <v>0.89999999999999991</v>
      </c>
      <c r="T20" s="44"/>
      <c r="U20" s="44">
        <f t="shared" si="3"/>
        <v>0.99999999999999989</v>
      </c>
      <c r="V20" s="44"/>
      <c r="W20" s="36">
        <f t="shared" si="4"/>
        <v>1.0999999999999999</v>
      </c>
      <c r="X20" s="44"/>
      <c r="Y20" s="32" t="s">
        <v>391</v>
      </c>
      <c r="Z20" s="48" t="s">
        <v>416</v>
      </c>
    </row>
    <row r="21" spans="1:26" s="25" customFormat="1" x14ac:dyDescent="0.45">
      <c r="A21" s="7"/>
      <c r="B21" s="45" t="s">
        <v>401</v>
      </c>
      <c r="C21" s="45" t="s">
        <v>402</v>
      </c>
      <c r="D21" s="45">
        <v>8</v>
      </c>
      <c r="E21" s="45" t="s">
        <v>410</v>
      </c>
      <c r="F21" s="45" t="s">
        <v>413</v>
      </c>
      <c r="G21" s="45">
        <v>0</v>
      </c>
      <c r="H21" s="45">
        <v>0</v>
      </c>
      <c r="I21" s="45">
        <v>1</v>
      </c>
      <c r="J21" s="45">
        <v>1</v>
      </c>
      <c r="K21" s="45">
        <v>2</v>
      </c>
      <c r="L21" s="45"/>
      <c r="M21" s="45"/>
      <c r="N21" s="45"/>
      <c r="O21" s="36">
        <v>0.7</v>
      </c>
      <c r="P21" s="36">
        <v>0.05</v>
      </c>
      <c r="Q21" s="44">
        <f t="shared" si="0"/>
        <v>0.79999999999999993</v>
      </c>
      <c r="R21" s="44">
        <f t="shared" si="1"/>
        <v>0.15000000000000002</v>
      </c>
      <c r="S21" s="36">
        <f t="shared" si="2"/>
        <v>0.89999999999999991</v>
      </c>
      <c r="T21" s="44">
        <f t="shared" si="1"/>
        <v>0.25</v>
      </c>
      <c r="U21" s="44">
        <f t="shared" si="3"/>
        <v>0.99999999999999989</v>
      </c>
      <c r="V21" s="44">
        <f t="shared" si="1"/>
        <v>0.35</v>
      </c>
      <c r="W21" s="36">
        <f t="shared" si="4"/>
        <v>1.0999999999999999</v>
      </c>
      <c r="X21" s="44">
        <f t="shared" si="1"/>
        <v>0.44999999999999996</v>
      </c>
      <c r="Y21" s="32" t="s">
        <v>393</v>
      </c>
      <c r="Z21" s="48" t="s">
        <v>416</v>
      </c>
    </row>
    <row r="22" spans="1:26" s="25" customFormat="1" x14ac:dyDescent="0.45">
      <c r="A22" s="7"/>
      <c r="B22" s="45" t="s">
        <v>418</v>
      </c>
      <c r="C22" s="45" t="s">
        <v>433</v>
      </c>
      <c r="D22" s="45">
        <v>1</v>
      </c>
      <c r="E22" s="45" t="s">
        <v>437</v>
      </c>
      <c r="F22" s="45" t="s">
        <v>175</v>
      </c>
      <c r="G22" s="45">
        <v>0</v>
      </c>
      <c r="H22" s="45">
        <v>0</v>
      </c>
      <c r="I22" s="45">
        <v>1</v>
      </c>
      <c r="J22" s="45">
        <v>1</v>
      </c>
      <c r="K22" s="45">
        <v>0</v>
      </c>
      <c r="L22" s="45"/>
      <c r="M22" s="45"/>
      <c r="N22" s="45"/>
      <c r="O22" s="36">
        <v>1</v>
      </c>
      <c r="P22" s="36"/>
      <c r="Q22" s="44">
        <f t="shared" si="0"/>
        <v>1.1000000000000001</v>
      </c>
      <c r="R22" s="44"/>
      <c r="S22" s="36">
        <f t="shared" si="2"/>
        <v>1.2000000000000002</v>
      </c>
      <c r="T22" s="44"/>
      <c r="U22" s="44">
        <f t="shared" si="3"/>
        <v>1.3000000000000003</v>
      </c>
      <c r="V22" s="44"/>
      <c r="W22" s="36">
        <f t="shared" si="4"/>
        <v>1.4000000000000004</v>
      </c>
      <c r="X22" s="44"/>
      <c r="Y22" s="32"/>
      <c r="Z22" s="48" t="s">
        <v>434</v>
      </c>
    </row>
    <row r="23" spans="1:26" s="25" customFormat="1" x14ac:dyDescent="0.45">
      <c r="A23" s="7"/>
      <c r="B23" s="45" t="s">
        <v>420</v>
      </c>
      <c r="C23" s="45" t="s">
        <v>433</v>
      </c>
      <c r="D23" s="45">
        <v>2</v>
      </c>
      <c r="E23" s="45" t="s">
        <v>438</v>
      </c>
      <c r="F23" s="45" t="s">
        <v>445</v>
      </c>
      <c r="G23" s="45">
        <v>0</v>
      </c>
      <c r="H23" s="45">
        <v>0</v>
      </c>
      <c r="I23" s="45">
        <v>1</v>
      </c>
      <c r="J23" s="45">
        <v>1</v>
      </c>
      <c r="K23" s="45">
        <v>0</v>
      </c>
      <c r="L23" s="45"/>
      <c r="M23" s="45"/>
      <c r="N23" s="45"/>
      <c r="O23" s="36">
        <v>1</v>
      </c>
      <c r="P23" s="36">
        <v>0.2</v>
      </c>
      <c r="Q23" s="44">
        <f t="shared" si="0"/>
        <v>1.1000000000000001</v>
      </c>
      <c r="R23" s="44">
        <f t="shared" si="1"/>
        <v>0.30000000000000004</v>
      </c>
      <c r="S23" s="36">
        <f t="shared" si="2"/>
        <v>1.2000000000000002</v>
      </c>
      <c r="T23" s="44">
        <f t="shared" si="1"/>
        <v>0.4</v>
      </c>
      <c r="U23" s="44">
        <f t="shared" si="3"/>
        <v>1.3000000000000003</v>
      </c>
      <c r="V23" s="44">
        <f t="shared" si="1"/>
        <v>0.5</v>
      </c>
      <c r="W23" s="36">
        <f t="shared" si="4"/>
        <v>1.4000000000000004</v>
      </c>
      <c r="X23" s="44">
        <f t="shared" si="1"/>
        <v>0.6</v>
      </c>
      <c r="Y23" s="32"/>
      <c r="Z23" s="48" t="s">
        <v>435</v>
      </c>
    </row>
    <row r="24" spans="1:26" s="25" customFormat="1" x14ac:dyDescent="0.45">
      <c r="A24" s="7"/>
      <c r="B24" s="45" t="s">
        <v>422</v>
      </c>
      <c r="C24" s="45" t="s">
        <v>433</v>
      </c>
      <c r="D24" s="45">
        <v>3</v>
      </c>
      <c r="E24" s="45" t="s">
        <v>439</v>
      </c>
      <c r="F24" s="45" t="s">
        <v>177</v>
      </c>
      <c r="G24" s="45">
        <v>0</v>
      </c>
      <c r="H24" s="45">
        <v>0</v>
      </c>
      <c r="I24" s="45">
        <v>1</v>
      </c>
      <c r="J24" s="45">
        <v>1</v>
      </c>
      <c r="K24" s="45">
        <v>0</v>
      </c>
      <c r="L24" s="45" t="s">
        <v>132</v>
      </c>
      <c r="M24" s="45">
        <v>0</v>
      </c>
      <c r="N24" s="45"/>
      <c r="O24" s="36">
        <v>0.7</v>
      </c>
      <c r="P24" s="36">
        <v>0.7</v>
      </c>
      <c r="Q24" s="44">
        <f t="shared" si="0"/>
        <v>0.79999999999999993</v>
      </c>
      <c r="R24" s="44">
        <f t="shared" si="1"/>
        <v>0.79999999999999993</v>
      </c>
      <c r="S24" s="36">
        <f t="shared" si="2"/>
        <v>0.89999999999999991</v>
      </c>
      <c r="T24" s="44">
        <f t="shared" si="1"/>
        <v>0.89999999999999991</v>
      </c>
      <c r="U24" s="44">
        <f t="shared" si="3"/>
        <v>0.99999999999999989</v>
      </c>
      <c r="V24" s="44">
        <f t="shared" si="1"/>
        <v>0.99999999999999989</v>
      </c>
      <c r="W24" s="36">
        <f t="shared" si="4"/>
        <v>1.0999999999999999</v>
      </c>
      <c r="X24" s="44">
        <f t="shared" si="1"/>
        <v>1.0999999999999999</v>
      </c>
      <c r="Y24" s="32"/>
      <c r="Z24" s="48" t="s">
        <v>436</v>
      </c>
    </row>
    <row r="25" spans="1:26" s="25" customFormat="1" x14ac:dyDescent="0.45">
      <c r="A25" s="7"/>
      <c r="B25" s="45" t="s">
        <v>424</v>
      </c>
      <c r="C25" s="45" t="s">
        <v>433</v>
      </c>
      <c r="D25" s="45">
        <v>4</v>
      </c>
      <c r="E25" s="45" t="s">
        <v>440</v>
      </c>
      <c r="F25" s="45" t="s">
        <v>446</v>
      </c>
      <c r="G25" s="45">
        <v>0</v>
      </c>
      <c r="H25" s="45">
        <v>0</v>
      </c>
      <c r="I25" s="45">
        <v>1</v>
      </c>
      <c r="J25" s="45">
        <v>1</v>
      </c>
      <c r="K25" s="45">
        <v>0</v>
      </c>
      <c r="L25" s="45"/>
      <c r="M25" s="45"/>
      <c r="N25" s="45"/>
      <c r="O25" s="36">
        <v>1</v>
      </c>
      <c r="P25" s="36">
        <v>0.1</v>
      </c>
      <c r="Q25" s="44">
        <f t="shared" si="0"/>
        <v>1.1000000000000001</v>
      </c>
      <c r="R25" s="44">
        <f t="shared" si="1"/>
        <v>0.2</v>
      </c>
      <c r="S25" s="36">
        <f t="shared" si="2"/>
        <v>1.2000000000000002</v>
      </c>
      <c r="T25" s="44">
        <f t="shared" si="1"/>
        <v>0.30000000000000004</v>
      </c>
      <c r="U25" s="44">
        <f t="shared" si="3"/>
        <v>1.3000000000000003</v>
      </c>
      <c r="V25" s="44">
        <f t="shared" si="1"/>
        <v>0.4</v>
      </c>
      <c r="W25" s="36">
        <f t="shared" si="4"/>
        <v>1.4000000000000004</v>
      </c>
      <c r="X25" s="44">
        <f t="shared" si="1"/>
        <v>0.5</v>
      </c>
      <c r="Y25" s="32"/>
      <c r="Z25" s="48" t="s">
        <v>434</v>
      </c>
    </row>
    <row r="26" spans="1:26" s="25" customFormat="1" x14ac:dyDescent="0.45">
      <c r="A26" s="7"/>
      <c r="B26" s="45" t="s">
        <v>426</v>
      </c>
      <c r="C26" s="45" t="s">
        <v>433</v>
      </c>
      <c r="D26" s="45">
        <v>5</v>
      </c>
      <c r="E26" s="45" t="s">
        <v>441</v>
      </c>
      <c r="F26" s="45" t="s">
        <v>175</v>
      </c>
      <c r="G26" s="45">
        <v>0</v>
      </c>
      <c r="H26" s="45">
        <v>0</v>
      </c>
      <c r="I26" s="45">
        <v>1</v>
      </c>
      <c r="J26" s="45">
        <v>1</v>
      </c>
      <c r="K26" s="45">
        <v>0</v>
      </c>
      <c r="L26" s="45"/>
      <c r="M26" s="45"/>
      <c r="N26" s="45"/>
      <c r="O26" s="36">
        <v>1.2</v>
      </c>
      <c r="P26" s="36"/>
      <c r="Q26" s="44">
        <f t="shared" si="0"/>
        <v>1.3</v>
      </c>
      <c r="R26" s="44"/>
      <c r="S26" s="36">
        <f t="shared" si="2"/>
        <v>1.4000000000000001</v>
      </c>
      <c r="T26" s="44"/>
      <c r="U26" s="44">
        <f t="shared" si="3"/>
        <v>1.5000000000000002</v>
      </c>
      <c r="V26" s="44"/>
      <c r="W26" s="36">
        <f t="shared" si="4"/>
        <v>1.6000000000000003</v>
      </c>
      <c r="X26" s="44"/>
      <c r="Y26" s="32" t="s">
        <v>418</v>
      </c>
      <c r="Z26" s="48" t="s">
        <v>434</v>
      </c>
    </row>
    <row r="27" spans="1:26" s="25" customFormat="1" x14ac:dyDescent="0.45">
      <c r="A27" s="7"/>
      <c r="B27" s="45" t="s">
        <v>428</v>
      </c>
      <c r="C27" s="45" t="s">
        <v>433</v>
      </c>
      <c r="D27" s="45">
        <v>6</v>
      </c>
      <c r="E27" s="45" t="s">
        <v>442</v>
      </c>
      <c r="F27" s="45" t="s">
        <v>445</v>
      </c>
      <c r="G27" s="45">
        <v>0</v>
      </c>
      <c r="H27" s="45">
        <v>0</v>
      </c>
      <c r="I27" s="45">
        <v>1</v>
      </c>
      <c r="J27" s="45">
        <v>1</v>
      </c>
      <c r="K27" s="45">
        <v>0</v>
      </c>
      <c r="L27" s="45"/>
      <c r="M27" s="45"/>
      <c r="N27" s="45"/>
      <c r="O27" s="36">
        <v>1.2</v>
      </c>
      <c r="P27" s="36">
        <v>0.3</v>
      </c>
      <c r="Q27" s="44">
        <f t="shared" si="0"/>
        <v>1.3</v>
      </c>
      <c r="R27" s="44">
        <f t="shared" si="1"/>
        <v>0.4</v>
      </c>
      <c r="S27" s="36">
        <f t="shared" si="2"/>
        <v>1.4000000000000001</v>
      </c>
      <c r="T27" s="44">
        <f t="shared" si="1"/>
        <v>0.5</v>
      </c>
      <c r="U27" s="44">
        <f t="shared" si="3"/>
        <v>1.5000000000000002</v>
      </c>
      <c r="V27" s="44">
        <f t="shared" si="1"/>
        <v>0.6</v>
      </c>
      <c r="W27" s="36">
        <f t="shared" si="4"/>
        <v>1.6000000000000003</v>
      </c>
      <c r="X27" s="44">
        <f t="shared" si="1"/>
        <v>0.7</v>
      </c>
      <c r="Y27" s="32" t="s">
        <v>420</v>
      </c>
      <c r="Z27" s="48" t="s">
        <v>435</v>
      </c>
    </row>
    <row r="28" spans="1:26" s="25" customFormat="1" x14ac:dyDescent="0.45">
      <c r="A28" s="7"/>
      <c r="B28" s="45" t="s">
        <v>430</v>
      </c>
      <c r="C28" s="45" t="s">
        <v>433</v>
      </c>
      <c r="D28" s="45">
        <v>7</v>
      </c>
      <c r="E28" s="45" t="s">
        <v>443</v>
      </c>
      <c r="F28" s="45" t="s">
        <v>177</v>
      </c>
      <c r="G28" s="45">
        <v>0</v>
      </c>
      <c r="H28" s="45">
        <v>0</v>
      </c>
      <c r="I28" s="45">
        <v>1</v>
      </c>
      <c r="J28" s="45">
        <v>1</v>
      </c>
      <c r="K28" s="45">
        <v>0</v>
      </c>
      <c r="L28" s="45" t="s">
        <v>132</v>
      </c>
      <c r="M28" s="45">
        <v>0</v>
      </c>
      <c r="N28" s="45"/>
      <c r="O28" s="36">
        <v>0.9</v>
      </c>
      <c r="P28" s="36">
        <v>0.9</v>
      </c>
      <c r="Q28" s="44">
        <f t="shared" si="0"/>
        <v>1</v>
      </c>
      <c r="R28" s="44">
        <f t="shared" si="1"/>
        <v>1</v>
      </c>
      <c r="S28" s="36">
        <f t="shared" si="2"/>
        <v>1.1000000000000001</v>
      </c>
      <c r="T28" s="44">
        <f t="shared" si="1"/>
        <v>1.1000000000000001</v>
      </c>
      <c r="U28" s="44">
        <f t="shared" si="3"/>
        <v>1.2000000000000002</v>
      </c>
      <c r="V28" s="44">
        <f t="shared" si="1"/>
        <v>1.2000000000000002</v>
      </c>
      <c r="W28" s="36">
        <f t="shared" si="4"/>
        <v>1.3000000000000003</v>
      </c>
      <c r="X28" s="44">
        <f t="shared" si="1"/>
        <v>1.3000000000000003</v>
      </c>
      <c r="Y28" s="32" t="s">
        <v>422</v>
      </c>
      <c r="Z28" s="48" t="s">
        <v>436</v>
      </c>
    </row>
    <row r="29" spans="1:26" s="25" customFormat="1" x14ac:dyDescent="0.45">
      <c r="A29" s="7"/>
      <c r="B29" s="45" t="s">
        <v>432</v>
      </c>
      <c r="C29" s="45" t="s">
        <v>433</v>
      </c>
      <c r="D29" s="45">
        <v>8</v>
      </c>
      <c r="E29" s="45" t="s">
        <v>444</v>
      </c>
      <c r="F29" s="45" t="s">
        <v>446</v>
      </c>
      <c r="G29" s="45">
        <v>0</v>
      </c>
      <c r="H29" s="45">
        <v>0</v>
      </c>
      <c r="I29" s="45">
        <v>1</v>
      </c>
      <c r="J29" s="45">
        <v>1</v>
      </c>
      <c r="K29" s="45">
        <v>0</v>
      </c>
      <c r="L29" s="45"/>
      <c r="M29" s="45"/>
      <c r="N29" s="45"/>
      <c r="O29" s="36">
        <v>1.2</v>
      </c>
      <c r="P29" s="36">
        <v>0.15</v>
      </c>
      <c r="Q29" s="44">
        <f t="shared" si="0"/>
        <v>1.3</v>
      </c>
      <c r="R29" s="44">
        <f t="shared" si="1"/>
        <v>0.25</v>
      </c>
      <c r="S29" s="36">
        <f t="shared" si="2"/>
        <v>1.4000000000000001</v>
      </c>
      <c r="T29" s="44">
        <f t="shared" si="1"/>
        <v>0.35</v>
      </c>
      <c r="U29" s="44">
        <f t="shared" si="3"/>
        <v>1.5000000000000002</v>
      </c>
      <c r="V29" s="44">
        <f t="shared" si="1"/>
        <v>0.44999999999999996</v>
      </c>
      <c r="W29" s="36">
        <f t="shared" si="4"/>
        <v>1.6000000000000003</v>
      </c>
      <c r="X29" s="44">
        <f t="shared" si="1"/>
        <v>0.54999999999999993</v>
      </c>
      <c r="Y29" s="32" t="s">
        <v>424</v>
      </c>
      <c r="Z29" s="48" t="s">
        <v>434</v>
      </c>
    </row>
    <row r="30" spans="1:26" s="25" customFormat="1" x14ac:dyDescent="0.45">
      <c r="A30" s="7"/>
      <c r="B30" s="45" t="s">
        <v>448</v>
      </c>
      <c r="C30" s="45" t="s">
        <v>466</v>
      </c>
      <c r="D30" s="45">
        <v>1</v>
      </c>
      <c r="E30" s="45" t="s">
        <v>467</v>
      </c>
      <c r="F30" s="45" t="s">
        <v>475</v>
      </c>
      <c r="G30" s="45">
        <v>0</v>
      </c>
      <c r="H30" s="45">
        <v>1</v>
      </c>
      <c r="I30" s="45">
        <v>1</v>
      </c>
      <c r="J30" s="45">
        <v>1</v>
      </c>
      <c r="K30" s="45">
        <v>0</v>
      </c>
      <c r="L30" s="45"/>
      <c r="M30" s="45"/>
      <c r="N30" s="45"/>
      <c r="O30" s="36">
        <v>0.5</v>
      </c>
      <c r="P30" s="36"/>
      <c r="Q30" s="44">
        <f t="shared" si="0"/>
        <v>0.6</v>
      </c>
      <c r="R30" s="44"/>
      <c r="S30" s="36">
        <f t="shared" si="2"/>
        <v>0.7</v>
      </c>
      <c r="T30" s="44"/>
      <c r="U30" s="44">
        <f t="shared" si="3"/>
        <v>0.79999999999999993</v>
      </c>
      <c r="V30" s="44"/>
      <c r="W30" s="36">
        <f t="shared" si="4"/>
        <v>0.89999999999999991</v>
      </c>
      <c r="X30" s="44"/>
      <c r="Y30" s="32"/>
      <c r="Z30" s="48" t="s">
        <v>463</v>
      </c>
    </row>
    <row r="31" spans="1:26" s="25" customFormat="1" x14ac:dyDescent="0.45">
      <c r="A31" s="7"/>
      <c r="B31" s="45" t="s">
        <v>450</v>
      </c>
      <c r="C31" s="45" t="s">
        <v>466</v>
      </c>
      <c r="D31" s="45">
        <v>2</v>
      </c>
      <c r="E31" s="45" t="s">
        <v>468</v>
      </c>
      <c r="F31" s="45" t="s">
        <v>476</v>
      </c>
      <c r="G31" s="45">
        <v>0</v>
      </c>
      <c r="H31" s="45">
        <v>0</v>
      </c>
      <c r="I31" s="45">
        <v>1</v>
      </c>
      <c r="J31" s="45">
        <v>1</v>
      </c>
      <c r="K31" s="45">
        <v>0</v>
      </c>
      <c r="L31" s="45"/>
      <c r="M31" s="45"/>
      <c r="N31" s="45"/>
      <c r="O31" s="36">
        <v>0.8</v>
      </c>
      <c r="P31" s="36"/>
      <c r="Q31" s="44">
        <f t="shared" si="0"/>
        <v>0.9</v>
      </c>
      <c r="R31" s="44"/>
      <c r="S31" s="36">
        <f t="shared" si="2"/>
        <v>1</v>
      </c>
      <c r="T31" s="44"/>
      <c r="U31" s="44">
        <f t="shared" si="3"/>
        <v>1.1000000000000001</v>
      </c>
      <c r="V31" s="44"/>
      <c r="W31" s="36">
        <f t="shared" si="4"/>
        <v>1.2000000000000002</v>
      </c>
      <c r="X31" s="44"/>
      <c r="Y31" s="32"/>
      <c r="Z31" s="48" t="s">
        <v>464</v>
      </c>
    </row>
    <row r="32" spans="1:26" s="25" customFormat="1" x14ac:dyDescent="0.45">
      <c r="A32" s="7"/>
      <c r="B32" s="45" t="s">
        <v>452</v>
      </c>
      <c r="C32" s="45" t="s">
        <v>466</v>
      </c>
      <c r="D32" s="45">
        <v>3</v>
      </c>
      <c r="E32" s="45" t="s">
        <v>469</v>
      </c>
      <c r="F32" s="45" t="s">
        <v>477</v>
      </c>
      <c r="G32" s="45">
        <v>0</v>
      </c>
      <c r="H32" s="45">
        <v>1</v>
      </c>
      <c r="I32" s="45">
        <v>1</v>
      </c>
      <c r="J32" s="45">
        <v>1</v>
      </c>
      <c r="K32" s="45">
        <v>1</v>
      </c>
      <c r="L32" s="45" t="s">
        <v>479</v>
      </c>
      <c r="M32" s="45">
        <v>1</v>
      </c>
      <c r="N32" s="45">
        <v>1</v>
      </c>
      <c r="O32" s="36">
        <v>0.3</v>
      </c>
      <c r="P32" s="36">
        <v>0.3</v>
      </c>
      <c r="Q32" s="44">
        <f t="shared" si="0"/>
        <v>0.4</v>
      </c>
      <c r="R32" s="44">
        <f t="shared" si="1"/>
        <v>0.4</v>
      </c>
      <c r="S32" s="36">
        <f t="shared" si="2"/>
        <v>0.5</v>
      </c>
      <c r="T32" s="44">
        <f t="shared" si="1"/>
        <v>0.5</v>
      </c>
      <c r="U32" s="44">
        <f t="shared" si="3"/>
        <v>0.6</v>
      </c>
      <c r="V32" s="44">
        <f t="shared" si="1"/>
        <v>0.6</v>
      </c>
      <c r="W32" s="36">
        <f t="shared" si="4"/>
        <v>0.7</v>
      </c>
      <c r="X32" s="44">
        <f t="shared" si="1"/>
        <v>0.7</v>
      </c>
      <c r="Y32" s="32"/>
      <c r="Z32" s="48" t="s">
        <v>465</v>
      </c>
    </row>
    <row r="33" spans="1:26" s="25" customFormat="1" x14ac:dyDescent="0.45">
      <c r="A33" s="7"/>
      <c r="B33" s="45" t="s">
        <v>454</v>
      </c>
      <c r="C33" s="45" t="s">
        <v>466</v>
      </c>
      <c r="D33" s="45">
        <v>4</v>
      </c>
      <c r="E33" s="45" t="s">
        <v>470</v>
      </c>
      <c r="F33" s="46" t="s">
        <v>478</v>
      </c>
      <c r="G33" s="45">
        <v>0</v>
      </c>
      <c r="H33" s="45">
        <v>2</v>
      </c>
      <c r="I33" s="45">
        <v>1</v>
      </c>
      <c r="J33" s="45">
        <v>1</v>
      </c>
      <c r="K33" s="45">
        <v>2</v>
      </c>
      <c r="L33" s="45"/>
      <c r="M33" s="45"/>
      <c r="N33" s="45"/>
      <c r="O33" s="36">
        <v>0.2</v>
      </c>
      <c r="P33" s="36">
        <v>0.2</v>
      </c>
      <c r="Q33" s="44">
        <f t="shared" si="0"/>
        <v>0.30000000000000004</v>
      </c>
      <c r="R33" s="44">
        <f t="shared" si="1"/>
        <v>0.30000000000000004</v>
      </c>
      <c r="S33" s="36">
        <f t="shared" si="2"/>
        <v>0.4</v>
      </c>
      <c r="T33" s="44">
        <f t="shared" si="1"/>
        <v>0.4</v>
      </c>
      <c r="U33" s="44">
        <f t="shared" si="3"/>
        <v>0.5</v>
      </c>
      <c r="V33" s="44">
        <f t="shared" si="1"/>
        <v>0.5</v>
      </c>
      <c r="W33" s="36">
        <f t="shared" si="4"/>
        <v>0.6</v>
      </c>
      <c r="X33" s="44">
        <f t="shared" si="1"/>
        <v>0.6</v>
      </c>
      <c r="Y33" s="32"/>
      <c r="Z33" s="48" t="s">
        <v>463</v>
      </c>
    </row>
    <row r="34" spans="1:26" s="25" customFormat="1" x14ac:dyDescent="0.45">
      <c r="A34" s="7"/>
      <c r="B34" s="45" t="s">
        <v>456</v>
      </c>
      <c r="C34" s="45" t="s">
        <v>466</v>
      </c>
      <c r="D34" s="45">
        <v>5</v>
      </c>
      <c r="E34" s="45" t="s">
        <v>471</v>
      </c>
      <c r="F34" s="45" t="s">
        <v>475</v>
      </c>
      <c r="G34" s="45">
        <v>0</v>
      </c>
      <c r="H34" s="45">
        <v>1</v>
      </c>
      <c r="I34" s="45">
        <v>1</v>
      </c>
      <c r="J34" s="45">
        <v>1</v>
      </c>
      <c r="K34" s="45">
        <v>0</v>
      </c>
      <c r="L34" s="45"/>
      <c r="M34" s="45"/>
      <c r="N34" s="45"/>
      <c r="O34" s="36">
        <v>0.7</v>
      </c>
      <c r="P34" s="36"/>
      <c r="Q34" s="44">
        <f t="shared" si="0"/>
        <v>0.79999999999999993</v>
      </c>
      <c r="R34" s="44"/>
      <c r="S34" s="36">
        <f t="shared" si="2"/>
        <v>0.89999999999999991</v>
      </c>
      <c r="T34" s="44"/>
      <c r="U34" s="44">
        <f t="shared" si="3"/>
        <v>0.99999999999999989</v>
      </c>
      <c r="V34" s="44"/>
      <c r="W34" s="36">
        <f t="shared" si="4"/>
        <v>1.0999999999999999</v>
      </c>
      <c r="X34" s="44"/>
      <c r="Y34" s="32" t="s">
        <v>448</v>
      </c>
      <c r="Z34" s="48" t="s">
        <v>463</v>
      </c>
    </row>
    <row r="35" spans="1:26" s="25" customFormat="1" x14ac:dyDescent="0.45">
      <c r="A35" s="7"/>
      <c r="B35" s="45" t="s">
        <v>458</v>
      </c>
      <c r="C35" s="45" t="s">
        <v>466</v>
      </c>
      <c r="D35" s="45">
        <v>6</v>
      </c>
      <c r="E35" s="45" t="s">
        <v>472</v>
      </c>
      <c r="F35" s="45" t="s">
        <v>476</v>
      </c>
      <c r="G35" s="45">
        <v>0</v>
      </c>
      <c r="H35" s="45">
        <v>0</v>
      </c>
      <c r="I35" s="45">
        <v>1</v>
      </c>
      <c r="J35" s="45">
        <v>1</v>
      </c>
      <c r="K35" s="45">
        <v>0</v>
      </c>
      <c r="L35" s="45"/>
      <c r="M35" s="45"/>
      <c r="N35" s="45"/>
      <c r="O35" s="36">
        <v>1</v>
      </c>
      <c r="P35" s="36"/>
      <c r="Q35" s="44">
        <f t="shared" si="0"/>
        <v>1.1000000000000001</v>
      </c>
      <c r="R35" s="44"/>
      <c r="S35" s="36">
        <f t="shared" si="2"/>
        <v>1.2000000000000002</v>
      </c>
      <c r="T35" s="44"/>
      <c r="U35" s="44">
        <f t="shared" si="3"/>
        <v>1.3000000000000003</v>
      </c>
      <c r="V35" s="44"/>
      <c r="W35" s="36">
        <f t="shared" si="4"/>
        <v>1.4000000000000004</v>
      </c>
      <c r="X35" s="44"/>
      <c r="Y35" s="32" t="s">
        <v>450</v>
      </c>
      <c r="Z35" s="48" t="s">
        <v>464</v>
      </c>
    </row>
    <row r="36" spans="1:26" s="25" customFormat="1" x14ac:dyDescent="0.45">
      <c r="A36" s="7"/>
      <c r="B36" s="45" t="s">
        <v>460</v>
      </c>
      <c r="C36" s="45" t="s">
        <v>466</v>
      </c>
      <c r="D36" s="45">
        <v>7</v>
      </c>
      <c r="E36" s="45" t="s">
        <v>473</v>
      </c>
      <c r="F36" s="45" t="s">
        <v>477</v>
      </c>
      <c r="G36" s="45">
        <v>0</v>
      </c>
      <c r="H36" s="45">
        <v>1</v>
      </c>
      <c r="I36" s="45">
        <v>1</v>
      </c>
      <c r="J36" s="45">
        <v>1</v>
      </c>
      <c r="K36" s="45">
        <v>1</v>
      </c>
      <c r="L36" s="45" t="s">
        <v>479</v>
      </c>
      <c r="M36" s="45">
        <v>1</v>
      </c>
      <c r="N36" s="45">
        <v>1</v>
      </c>
      <c r="O36" s="36">
        <v>0.5</v>
      </c>
      <c r="P36" s="36">
        <v>0.5</v>
      </c>
      <c r="Q36" s="44">
        <f t="shared" si="0"/>
        <v>0.6</v>
      </c>
      <c r="R36" s="44">
        <f t="shared" si="1"/>
        <v>0.6</v>
      </c>
      <c r="S36" s="36">
        <f t="shared" si="2"/>
        <v>0.7</v>
      </c>
      <c r="T36" s="44">
        <f t="shared" si="1"/>
        <v>0.7</v>
      </c>
      <c r="U36" s="44">
        <f t="shared" si="3"/>
        <v>0.79999999999999993</v>
      </c>
      <c r="V36" s="44">
        <f t="shared" si="1"/>
        <v>0.79999999999999993</v>
      </c>
      <c r="W36" s="36">
        <f t="shared" si="4"/>
        <v>0.89999999999999991</v>
      </c>
      <c r="X36" s="44">
        <f t="shared" si="1"/>
        <v>0.89999999999999991</v>
      </c>
      <c r="Y36" s="32" t="s">
        <v>452</v>
      </c>
      <c r="Z36" s="48" t="s">
        <v>465</v>
      </c>
    </row>
    <row r="37" spans="1:26" s="25" customFormat="1" x14ac:dyDescent="0.45">
      <c r="A37" s="7"/>
      <c r="B37" s="45" t="s">
        <v>462</v>
      </c>
      <c r="C37" s="45" t="s">
        <v>466</v>
      </c>
      <c r="D37" s="45">
        <v>8</v>
      </c>
      <c r="E37" s="45" t="s">
        <v>474</v>
      </c>
      <c r="F37" s="46" t="s">
        <v>478</v>
      </c>
      <c r="G37" s="45">
        <v>0</v>
      </c>
      <c r="H37" s="45">
        <v>2</v>
      </c>
      <c r="I37" s="45">
        <v>1</v>
      </c>
      <c r="J37" s="45">
        <v>1</v>
      </c>
      <c r="K37" s="45">
        <v>2</v>
      </c>
      <c r="L37" s="45"/>
      <c r="M37" s="45"/>
      <c r="N37" s="45"/>
      <c r="O37" s="36">
        <v>0.3</v>
      </c>
      <c r="P37" s="36">
        <v>0.3</v>
      </c>
      <c r="Q37" s="44">
        <f t="shared" si="0"/>
        <v>0.4</v>
      </c>
      <c r="R37" s="44">
        <f t="shared" si="1"/>
        <v>0.4</v>
      </c>
      <c r="S37" s="36">
        <f t="shared" si="2"/>
        <v>0.5</v>
      </c>
      <c r="T37" s="44">
        <f t="shared" si="1"/>
        <v>0.5</v>
      </c>
      <c r="U37" s="44">
        <f t="shared" si="3"/>
        <v>0.6</v>
      </c>
      <c r="V37" s="44">
        <f t="shared" si="1"/>
        <v>0.6</v>
      </c>
      <c r="W37" s="36">
        <f t="shared" si="4"/>
        <v>0.7</v>
      </c>
      <c r="X37" s="44">
        <f t="shared" si="1"/>
        <v>0.7</v>
      </c>
      <c r="Y37" s="32" t="s">
        <v>454</v>
      </c>
      <c r="Z37" s="48" t="s">
        <v>463</v>
      </c>
    </row>
    <row r="39" spans="1:26" x14ac:dyDescent="0.45">
      <c r="A39" s="11" t="s">
        <v>186</v>
      </c>
      <c r="B39" s="11" t="s">
        <v>14</v>
      </c>
      <c r="C39" s="11" t="s">
        <v>29</v>
      </c>
      <c r="D39" s="11" t="s">
        <v>178</v>
      </c>
      <c r="E39" s="11" t="s">
        <v>10</v>
      </c>
      <c r="F39" s="11" t="s">
        <v>12</v>
      </c>
      <c r="G39" s="11" t="s">
        <v>114</v>
      </c>
      <c r="H39" s="11" t="s">
        <v>130</v>
      </c>
      <c r="I39" s="11" t="s">
        <v>55</v>
      </c>
      <c r="J39" s="11" t="s">
        <v>118</v>
      </c>
      <c r="K39" s="11" t="s">
        <v>54</v>
      </c>
      <c r="L39" s="11" t="s">
        <v>78</v>
      </c>
      <c r="M39" s="11" t="s">
        <v>81</v>
      </c>
      <c r="N39" s="11" t="s">
        <v>79</v>
      </c>
      <c r="O39" s="11" t="s">
        <v>165</v>
      </c>
      <c r="P39" s="11" t="s">
        <v>166</v>
      </c>
      <c r="Q39" s="11" t="s">
        <v>167</v>
      </c>
      <c r="R39" s="11" t="s">
        <v>168</v>
      </c>
      <c r="S39" s="11" t="s">
        <v>169</v>
      </c>
      <c r="T39" s="11" t="s">
        <v>170</v>
      </c>
      <c r="U39" s="11" t="s">
        <v>171</v>
      </c>
      <c r="V39" s="11" t="s">
        <v>172</v>
      </c>
      <c r="W39" s="11" t="s">
        <v>226</v>
      </c>
      <c r="X39" s="11" t="s">
        <v>227</v>
      </c>
      <c r="Y39" s="1" t="s">
        <v>584</v>
      </c>
      <c r="Z39" s="48" t="s">
        <v>585</v>
      </c>
    </row>
    <row r="40" spans="1:26" x14ac:dyDescent="0.45">
      <c r="A40" s="11" t="s">
        <v>181</v>
      </c>
    </row>
  </sheetData>
  <mergeCells count="1">
    <mergeCell ref="B2:P2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FDEF-8474-49A1-AB6C-5E66602F6994}">
  <dimension ref="A1:AR13"/>
  <sheetViews>
    <sheetView zoomScaleNormal="100" workbookViewId="0"/>
  </sheetViews>
  <sheetFormatPr defaultColWidth="9" defaultRowHeight="17" x14ac:dyDescent="0.45"/>
  <cols>
    <col min="1" max="1" width="10.5" style="11" customWidth="1"/>
    <col min="2" max="3" width="20.58203125" style="11" customWidth="1"/>
    <col min="4" max="4" width="36" style="11" customWidth="1"/>
    <col min="5" max="24" width="20.58203125" style="11" customWidth="1"/>
    <col min="25" max="25" width="24.1640625" style="11" customWidth="1"/>
    <col min="26" max="26" width="44.5" style="11" customWidth="1"/>
    <col min="27" max="27" width="20.58203125" style="11" customWidth="1"/>
    <col min="28" max="28" width="19.6640625" style="11" customWidth="1"/>
    <col min="29" max="31" width="20.58203125" style="11" customWidth="1"/>
    <col min="32" max="32" width="22.9140625" style="11" customWidth="1"/>
    <col min="33" max="33" width="20.58203125" style="11" customWidth="1"/>
    <col min="34" max="34" width="26.25" style="11" customWidth="1"/>
    <col min="35" max="35" width="20.58203125" style="11" customWidth="1"/>
    <col min="36" max="36" width="25.4140625" style="11" customWidth="1"/>
    <col min="37" max="37" width="20.58203125" style="11" customWidth="1"/>
    <col min="38" max="38" width="25" style="11" customWidth="1"/>
    <col min="39" max="39" width="20.58203125" style="11" customWidth="1"/>
    <col min="40" max="40" width="24.58203125" style="11" customWidth="1"/>
    <col min="41" max="41" width="20.58203125" style="11" customWidth="1"/>
    <col min="42" max="42" width="24.58203125" style="11" customWidth="1"/>
    <col min="43" max="43" width="20.58203125" style="11" customWidth="1"/>
    <col min="44" max="44" width="24.58203125" style="11" customWidth="1"/>
    <col min="45" max="16384" width="9" style="11"/>
  </cols>
  <sheetData>
    <row r="1" spans="1:44" x14ac:dyDescent="0.45">
      <c r="A1" s="11" t="s">
        <v>181</v>
      </c>
    </row>
    <row r="2" spans="1:44" x14ac:dyDescent="0.45">
      <c r="B2" s="53" t="s">
        <v>216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4" spans="1:44" x14ac:dyDescent="0.45">
      <c r="A4" s="11" t="s">
        <v>182</v>
      </c>
      <c r="B4" s="10" t="s">
        <v>19</v>
      </c>
      <c r="C4" s="10" t="s">
        <v>19</v>
      </c>
      <c r="D4" s="10" t="s">
        <v>19</v>
      </c>
      <c r="E4" s="10" t="s">
        <v>18</v>
      </c>
      <c r="F4" s="10" t="s">
        <v>18</v>
      </c>
      <c r="G4" s="10" t="s">
        <v>18</v>
      </c>
      <c r="H4" s="10" t="s">
        <v>18</v>
      </c>
      <c r="I4" s="10" t="s">
        <v>18</v>
      </c>
      <c r="J4" s="10" t="s">
        <v>18</v>
      </c>
      <c r="K4" s="10" t="s">
        <v>18</v>
      </c>
      <c r="L4" s="10" t="s">
        <v>18</v>
      </c>
      <c r="M4" s="10" t="s">
        <v>18</v>
      </c>
      <c r="N4" s="10" t="s">
        <v>18</v>
      </c>
      <c r="O4" s="10" t="s">
        <v>18</v>
      </c>
      <c r="P4" s="10" t="s">
        <v>18</v>
      </c>
      <c r="Q4" s="10" t="s">
        <v>18</v>
      </c>
      <c r="R4" s="10" t="s">
        <v>18</v>
      </c>
      <c r="S4" s="10" t="s">
        <v>18</v>
      </c>
      <c r="T4" s="10" t="s">
        <v>183</v>
      </c>
      <c r="U4" s="10" t="s">
        <v>183</v>
      </c>
      <c r="V4" s="10" t="s">
        <v>183</v>
      </c>
      <c r="W4" s="10" t="s">
        <v>18</v>
      </c>
      <c r="X4" s="10" t="s">
        <v>18</v>
      </c>
      <c r="Y4" s="10" t="s">
        <v>19</v>
      </c>
      <c r="Z4" s="10" t="s">
        <v>19</v>
      </c>
      <c r="AA4" s="10" t="s">
        <v>18</v>
      </c>
      <c r="AB4" s="10" t="s">
        <v>18</v>
      </c>
      <c r="AC4" s="10" t="s">
        <v>18</v>
      </c>
      <c r="AD4" s="10" t="s">
        <v>18</v>
      </c>
      <c r="AE4" s="10" t="s">
        <v>18</v>
      </c>
      <c r="AF4" s="10" t="s">
        <v>22</v>
      </c>
      <c r="AG4" s="10" t="s">
        <v>18</v>
      </c>
      <c r="AH4" s="10" t="s">
        <v>18</v>
      </c>
      <c r="AI4" s="10" t="s">
        <v>183</v>
      </c>
      <c r="AJ4" s="10" t="s">
        <v>183</v>
      </c>
      <c r="AK4" s="10" t="s">
        <v>183</v>
      </c>
      <c r="AL4" s="10" t="s">
        <v>183</v>
      </c>
      <c r="AM4" s="10" t="s">
        <v>183</v>
      </c>
      <c r="AN4" s="10" t="s">
        <v>183</v>
      </c>
      <c r="AO4" s="10" t="s">
        <v>183</v>
      </c>
      <c r="AP4" s="10" t="s">
        <v>183</v>
      </c>
      <c r="AQ4" s="10" t="s">
        <v>183</v>
      </c>
      <c r="AR4" s="10" t="s">
        <v>183</v>
      </c>
    </row>
    <row r="5" spans="1:44" ht="34" x14ac:dyDescent="0.45">
      <c r="A5" s="11" t="s">
        <v>184</v>
      </c>
      <c r="B5" s="13" t="s">
        <v>21</v>
      </c>
      <c r="C5" s="13" t="s">
        <v>16</v>
      </c>
      <c r="D5" s="13" t="s">
        <v>30</v>
      </c>
      <c r="E5" s="14" t="s">
        <v>148</v>
      </c>
      <c r="F5" s="14" t="s">
        <v>149</v>
      </c>
      <c r="G5" s="14" t="s">
        <v>150</v>
      </c>
      <c r="H5" s="14" t="s">
        <v>228</v>
      </c>
      <c r="I5" s="14" t="s">
        <v>229</v>
      </c>
      <c r="J5" s="14" t="s">
        <v>151</v>
      </c>
      <c r="K5" s="14" t="s">
        <v>152</v>
      </c>
      <c r="L5" s="14" t="s">
        <v>153</v>
      </c>
      <c r="M5" s="14" t="s">
        <v>232</v>
      </c>
      <c r="N5" s="14" t="s">
        <v>234</v>
      </c>
      <c r="O5" s="14" t="s">
        <v>154</v>
      </c>
      <c r="P5" s="14" t="s">
        <v>155</v>
      </c>
      <c r="Q5" s="14" t="s">
        <v>156</v>
      </c>
      <c r="R5" s="14" t="s">
        <v>236</v>
      </c>
      <c r="S5" s="14" t="s">
        <v>238</v>
      </c>
      <c r="T5" s="14" t="s">
        <v>32</v>
      </c>
      <c r="U5" s="14" t="s">
        <v>33</v>
      </c>
      <c r="V5" s="14" t="s">
        <v>72</v>
      </c>
      <c r="W5" s="14" t="s">
        <v>31</v>
      </c>
      <c r="X5" s="13" t="s">
        <v>15</v>
      </c>
      <c r="Y5" s="13" t="s">
        <v>17</v>
      </c>
      <c r="Z5" s="14" t="s">
        <v>48</v>
      </c>
      <c r="AA5" s="14" t="s">
        <v>113</v>
      </c>
      <c r="AB5" s="14" t="s">
        <v>49</v>
      </c>
      <c r="AC5" s="14" t="s">
        <v>50</v>
      </c>
      <c r="AD5" s="14" t="s">
        <v>116</v>
      </c>
      <c r="AE5" s="14" t="s">
        <v>51</v>
      </c>
      <c r="AF5" s="14" t="s">
        <v>82</v>
      </c>
      <c r="AG5" s="14" t="s">
        <v>83</v>
      </c>
      <c r="AH5" s="14" t="s">
        <v>200</v>
      </c>
      <c r="AI5" s="14" t="s">
        <v>137</v>
      </c>
      <c r="AJ5" s="14" t="s">
        <v>138</v>
      </c>
      <c r="AK5" s="14" t="s">
        <v>140</v>
      </c>
      <c r="AL5" s="14" t="s">
        <v>142</v>
      </c>
      <c r="AM5" s="14" t="s">
        <v>145</v>
      </c>
      <c r="AN5" s="14" t="s">
        <v>144</v>
      </c>
      <c r="AO5" s="14" t="s">
        <v>240</v>
      </c>
      <c r="AP5" s="14" t="s">
        <v>241</v>
      </c>
      <c r="AQ5" s="14" t="s">
        <v>244</v>
      </c>
      <c r="AR5" s="14" t="s">
        <v>245</v>
      </c>
    </row>
    <row r="6" spans="1:44" ht="51" x14ac:dyDescent="0.45">
      <c r="A6" s="11" t="s">
        <v>185</v>
      </c>
      <c r="B6" s="13" t="s">
        <v>299</v>
      </c>
      <c r="C6" s="13" t="s">
        <v>289</v>
      </c>
      <c r="D6" s="14" t="s">
        <v>294</v>
      </c>
      <c r="E6" s="13"/>
      <c r="F6" s="13"/>
      <c r="G6" s="13"/>
      <c r="H6" s="13"/>
      <c r="I6" s="13"/>
      <c r="J6" s="13">
        <v>1</v>
      </c>
      <c r="K6" s="13">
        <v>2</v>
      </c>
      <c r="L6" s="13">
        <v>3</v>
      </c>
      <c r="M6" s="13">
        <v>4</v>
      </c>
      <c r="N6" s="13">
        <v>5</v>
      </c>
      <c r="O6" s="13"/>
      <c r="P6" s="13"/>
      <c r="Q6" s="13"/>
      <c r="R6" s="13"/>
      <c r="S6" s="13"/>
      <c r="T6" s="13"/>
      <c r="U6" s="13"/>
      <c r="V6" s="13"/>
      <c r="W6" s="13"/>
      <c r="X6" s="13" t="s">
        <v>304</v>
      </c>
      <c r="Y6" s="13" t="s">
        <v>309</v>
      </c>
      <c r="Z6" s="14" t="s">
        <v>314</v>
      </c>
      <c r="AA6" s="14">
        <v>0</v>
      </c>
      <c r="AB6" s="13">
        <v>0</v>
      </c>
      <c r="AC6" s="13">
        <v>0</v>
      </c>
      <c r="AD6" s="13">
        <v>0</v>
      </c>
      <c r="AE6" s="13">
        <v>0</v>
      </c>
      <c r="AF6" s="13"/>
      <c r="AG6" s="13"/>
      <c r="AH6" s="13"/>
      <c r="AI6" s="16">
        <v>0.8</v>
      </c>
      <c r="AJ6" s="16"/>
      <c r="AK6" s="16">
        <v>0.9</v>
      </c>
      <c r="AL6" s="16" t="str">
        <f t="shared" ref="AL6:AR10" si="0">IFERROR(IF(ROUND(AJ6*1.2,1)=0,"",ROUND(AJ6*1.2,1)),"")</f>
        <v/>
      </c>
      <c r="AM6" s="16">
        <v>1</v>
      </c>
      <c r="AN6" s="16" t="str">
        <f t="shared" si="0"/>
        <v/>
      </c>
      <c r="AO6" s="16">
        <v>1.1000000000000001</v>
      </c>
      <c r="AP6" s="16" t="str">
        <f t="shared" si="0"/>
        <v/>
      </c>
      <c r="AQ6" s="16">
        <v>1.2</v>
      </c>
      <c r="AR6" s="16" t="str">
        <f t="shared" si="0"/>
        <v/>
      </c>
    </row>
    <row r="7" spans="1:44" ht="34" x14ac:dyDescent="0.45">
      <c r="B7" s="13" t="s">
        <v>300</v>
      </c>
      <c r="C7" s="13" t="s">
        <v>290</v>
      </c>
      <c r="D7" s="14" t="s">
        <v>295</v>
      </c>
      <c r="E7" s="13"/>
      <c r="F7" s="13"/>
      <c r="G7" s="13"/>
      <c r="H7" s="13"/>
      <c r="I7" s="13"/>
      <c r="J7" s="13">
        <v>1</v>
      </c>
      <c r="K7" s="13">
        <v>2</v>
      </c>
      <c r="L7" s="13">
        <v>3</v>
      </c>
      <c r="M7" s="13">
        <v>4</v>
      </c>
      <c r="N7" s="13">
        <v>5</v>
      </c>
      <c r="O7" s="13"/>
      <c r="P7" s="13"/>
      <c r="Q7" s="13"/>
      <c r="R7" s="13"/>
      <c r="S7" s="13"/>
      <c r="T7" s="13"/>
      <c r="U7" s="13"/>
      <c r="V7" s="13"/>
      <c r="W7" s="13"/>
      <c r="X7" s="13" t="s">
        <v>305</v>
      </c>
      <c r="Y7" s="13" t="s">
        <v>310</v>
      </c>
      <c r="Z7" s="14" t="s">
        <v>315</v>
      </c>
      <c r="AA7" s="14">
        <v>0</v>
      </c>
      <c r="AB7" s="13">
        <v>0</v>
      </c>
      <c r="AC7" s="13">
        <v>1</v>
      </c>
      <c r="AD7" s="13">
        <v>1</v>
      </c>
      <c r="AE7" s="13">
        <v>2</v>
      </c>
      <c r="AF7" s="13"/>
      <c r="AG7" s="13"/>
      <c r="AH7" s="13"/>
      <c r="AI7" s="16">
        <v>0.3</v>
      </c>
      <c r="AJ7" s="16"/>
      <c r="AK7" s="16">
        <v>0.4</v>
      </c>
      <c r="AL7" s="16" t="str">
        <f t="shared" si="0"/>
        <v/>
      </c>
      <c r="AM7" s="16">
        <v>0.5</v>
      </c>
      <c r="AN7" s="16" t="str">
        <f t="shared" si="0"/>
        <v/>
      </c>
      <c r="AO7" s="16">
        <v>0.6</v>
      </c>
      <c r="AP7" s="16" t="str">
        <f t="shared" si="0"/>
        <v/>
      </c>
      <c r="AQ7" s="16">
        <v>0.7</v>
      </c>
      <c r="AR7" s="16" t="str">
        <f t="shared" si="0"/>
        <v/>
      </c>
    </row>
    <row r="8" spans="1:44" ht="51" x14ac:dyDescent="0.45">
      <c r="B8" s="13" t="s">
        <v>301</v>
      </c>
      <c r="C8" s="13" t="s">
        <v>291</v>
      </c>
      <c r="D8" s="14" t="s">
        <v>296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>
        <v>1</v>
      </c>
      <c r="P8" s="13">
        <v>2</v>
      </c>
      <c r="Q8" s="13">
        <v>3</v>
      </c>
      <c r="R8" s="13">
        <v>4</v>
      </c>
      <c r="S8" s="13">
        <v>5</v>
      </c>
      <c r="T8" s="13"/>
      <c r="U8" s="13"/>
      <c r="V8" s="13"/>
      <c r="W8" s="13"/>
      <c r="X8" s="13" t="s">
        <v>306</v>
      </c>
      <c r="Y8" s="13" t="s">
        <v>311</v>
      </c>
      <c r="Z8" s="14" t="s">
        <v>316</v>
      </c>
      <c r="AA8" s="14">
        <v>0</v>
      </c>
      <c r="AB8" s="14">
        <v>3</v>
      </c>
      <c r="AC8" s="14">
        <v>1</v>
      </c>
      <c r="AD8" s="14">
        <v>1</v>
      </c>
      <c r="AE8" s="14">
        <v>0</v>
      </c>
      <c r="AF8" s="14"/>
      <c r="AG8" s="14"/>
      <c r="AH8" s="14"/>
      <c r="AI8" s="52">
        <v>0.3</v>
      </c>
      <c r="AJ8" s="52"/>
      <c r="AK8" s="16">
        <v>0.35</v>
      </c>
      <c r="AL8" s="16" t="str">
        <f t="shared" si="0"/>
        <v/>
      </c>
      <c r="AM8" s="16">
        <v>0.4</v>
      </c>
      <c r="AN8" s="16" t="str">
        <f t="shared" si="0"/>
        <v/>
      </c>
      <c r="AO8" s="16">
        <v>0.45</v>
      </c>
      <c r="AP8" s="16" t="str">
        <f t="shared" si="0"/>
        <v/>
      </c>
      <c r="AQ8" s="16">
        <v>0.5</v>
      </c>
      <c r="AR8" s="16" t="str">
        <f t="shared" si="0"/>
        <v/>
      </c>
    </row>
    <row r="9" spans="1:44" ht="34" x14ac:dyDescent="0.45">
      <c r="B9" s="13" t="s">
        <v>302</v>
      </c>
      <c r="C9" s="13" t="s">
        <v>292</v>
      </c>
      <c r="D9" s="14" t="s">
        <v>297</v>
      </c>
      <c r="E9" s="13">
        <v>1</v>
      </c>
      <c r="F9" s="13">
        <v>2</v>
      </c>
      <c r="G9" s="13">
        <v>3</v>
      </c>
      <c r="H9" s="13">
        <v>4</v>
      </c>
      <c r="I9" s="13">
        <v>5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 t="s">
        <v>307</v>
      </c>
      <c r="Y9" s="13" t="s">
        <v>312</v>
      </c>
      <c r="Z9" s="14" t="s">
        <v>317</v>
      </c>
      <c r="AA9" s="14">
        <v>0</v>
      </c>
      <c r="AB9" s="14">
        <v>1</v>
      </c>
      <c r="AC9" s="14">
        <v>1</v>
      </c>
      <c r="AD9" s="14">
        <v>1</v>
      </c>
      <c r="AE9" s="14">
        <v>0</v>
      </c>
      <c r="AF9" s="14"/>
      <c r="AG9" s="14"/>
      <c r="AH9" s="14"/>
      <c r="AI9" s="52">
        <v>0.3</v>
      </c>
      <c r="AJ9" s="52"/>
      <c r="AK9" s="16">
        <v>0.35</v>
      </c>
      <c r="AL9" s="16" t="str">
        <f t="shared" si="0"/>
        <v/>
      </c>
      <c r="AM9" s="16">
        <v>0.4</v>
      </c>
      <c r="AN9" s="16" t="str">
        <f t="shared" si="0"/>
        <v/>
      </c>
      <c r="AO9" s="16">
        <v>0.45</v>
      </c>
      <c r="AP9" s="16" t="str">
        <f t="shared" si="0"/>
        <v/>
      </c>
      <c r="AQ9" s="16">
        <v>0.5</v>
      </c>
      <c r="AR9" s="16" t="str">
        <f t="shared" si="0"/>
        <v/>
      </c>
    </row>
    <row r="10" spans="1:44" ht="34" x14ac:dyDescent="0.45">
      <c r="B10" s="13" t="s">
        <v>303</v>
      </c>
      <c r="C10" s="13" t="s">
        <v>293</v>
      </c>
      <c r="D10" s="14" t="s">
        <v>298</v>
      </c>
      <c r="E10" s="13">
        <v>1</v>
      </c>
      <c r="F10" s="13">
        <v>2</v>
      </c>
      <c r="G10" s="13">
        <v>3</v>
      </c>
      <c r="H10" s="13">
        <v>4</v>
      </c>
      <c r="I10" s="13">
        <v>5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 t="s">
        <v>308</v>
      </c>
      <c r="Y10" s="13" t="s">
        <v>313</v>
      </c>
      <c r="Z10" s="14" t="s">
        <v>318</v>
      </c>
      <c r="AA10" s="14">
        <v>0</v>
      </c>
      <c r="AB10" s="13">
        <v>4</v>
      </c>
      <c r="AC10" s="13">
        <v>1</v>
      </c>
      <c r="AD10" s="13">
        <v>1</v>
      </c>
      <c r="AE10" s="13">
        <v>2</v>
      </c>
      <c r="AF10" s="13"/>
      <c r="AG10" s="13"/>
      <c r="AH10" s="13"/>
      <c r="AI10" s="16">
        <v>0.1</v>
      </c>
      <c r="AJ10" s="16"/>
      <c r="AK10" s="16">
        <v>0.15</v>
      </c>
      <c r="AL10" s="16" t="str">
        <f t="shared" si="0"/>
        <v/>
      </c>
      <c r="AM10" s="16">
        <v>0.2</v>
      </c>
      <c r="AN10" s="16" t="str">
        <f t="shared" si="0"/>
        <v/>
      </c>
      <c r="AO10" s="16">
        <v>0.25</v>
      </c>
      <c r="AP10" s="16" t="str">
        <f t="shared" si="0"/>
        <v/>
      </c>
      <c r="AQ10" s="16">
        <v>0.3</v>
      </c>
      <c r="AR10" s="16" t="str">
        <f t="shared" si="0"/>
        <v/>
      </c>
    </row>
    <row r="12" spans="1:44" x14ac:dyDescent="0.45">
      <c r="A12" s="11" t="s">
        <v>186</v>
      </c>
    </row>
    <row r="13" spans="1:44" ht="102" x14ac:dyDescent="0.45">
      <c r="A13" s="11" t="s">
        <v>181</v>
      </c>
      <c r="B13" s="3" t="s">
        <v>201</v>
      </c>
      <c r="C13" s="4" t="s">
        <v>202</v>
      </c>
      <c r="D13" s="4" t="s">
        <v>190</v>
      </c>
      <c r="E13" s="4" t="s">
        <v>203</v>
      </c>
      <c r="F13" s="4" t="s">
        <v>204</v>
      </c>
      <c r="G13" s="4" t="s">
        <v>205</v>
      </c>
      <c r="H13" s="4" t="s">
        <v>230</v>
      </c>
      <c r="I13" s="4" t="s">
        <v>231</v>
      </c>
      <c r="J13" s="4" t="s">
        <v>206</v>
      </c>
      <c r="K13" s="4" t="s">
        <v>207</v>
      </c>
      <c r="L13" s="4" t="s">
        <v>208</v>
      </c>
      <c r="M13" s="4" t="s">
        <v>233</v>
      </c>
      <c r="N13" s="4" t="s">
        <v>235</v>
      </c>
      <c r="O13" s="4" t="s">
        <v>209</v>
      </c>
      <c r="P13" s="4" t="s">
        <v>210</v>
      </c>
      <c r="Q13" s="4" t="s">
        <v>211</v>
      </c>
      <c r="R13" s="4" t="s">
        <v>237</v>
      </c>
      <c r="S13" s="4" t="s">
        <v>239</v>
      </c>
      <c r="T13" s="4" t="s">
        <v>212</v>
      </c>
      <c r="U13" s="4" t="s">
        <v>213</v>
      </c>
      <c r="V13" s="4" t="s">
        <v>214</v>
      </c>
      <c r="W13" s="4" t="s">
        <v>215</v>
      </c>
      <c r="X13" s="4" t="s">
        <v>218</v>
      </c>
      <c r="Y13" s="8" t="s">
        <v>219</v>
      </c>
      <c r="Z13" s="9" t="s">
        <v>220</v>
      </c>
      <c r="AA13" s="24" t="s">
        <v>114</v>
      </c>
      <c r="AB13" s="14" t="s">
        <v>319</v>
      </c>
      <c r="AC13" s="14" t="s">
        <v>52</v>
      </c>
      <c r="AD13" s="14" t="s">
        <v>119</v>
      </c>
      <c r="AE13" s="14" t="s">
        <v>53</v>
      </c>
      <c r="AF13" s="14" t="s">
        <v>84</v>
      </c>
      <c r="AG13" s="14" t="s">
        <v>85</v>
      </c>
      <c r="AH13" s="14" t="s">
        <v>86</v>
      </c>
      <c r="AI13" s="14" t="s">
        <v>136</v>
      </c>
      <c r="AJ13" s="14" t="s">
        <v>139</v>
      </c>
      <c r="AK13" s="14" t="s">
        <v>141</v>
      </c>
      <c r="AL13" s="14" t="s">
        <v>143</v>
      </c>
      <c r="AM13" s="14" t="s">
        <v>146</v>
      </c>
      <c r="AN13" s="14" t="s">
        <v>147</v>
      </c>
      <c r="AO13" s="14" t="s">
        <v>242</v>
      </c>
      <c r="AP13" s="14" t="s">
        <v>243</v>
      </c>
      <c r="AQ13" s="14" t="s">
        <v>246</v>
      </c>
      <c r="AR13" s="14" t="s">
        <v>247</v>
      </c>
    </row>
  </sheetData>
  <mergeCells count="1">
    <mergeCell ref="B2:U2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2C4C-71E0-4A34-A845-61B8600DB9F8}">
  <dimension ref="B3:D14"/>
  <sheetViews>
    <sheetView workbookViewId="0"/>
  </sheetViews>
  <sheetFormatPr defaultRowHeight="17" x14ac:dyDescent="0.45"/>
  <cols>
    <col min="3" max="3" width="11.4140625" bestFit="1" customWidth="1"/>
    <col min="4" max="4" width="63.75" customWidth="1"/>
  </cols>
  <sheetData>
    <row r="3" spans="2:4" x14ac:dyDescent="0.45">
      <c r="B3" s="33" t="s">
        <v>344</v>
      </c>
      <c r="C3" s="33" t="s">
        <v>352</v>
      </c>
      <c r="D3" s="35" t="s">
        <v>353</v>
      </c>
    </row>
    <row r="4" spans="2:4" ht="34" x14ac:dyDescent="0.45">
      <c r="B4" s="33" t="s">
        <v>345</v>
      </c>
      <c r="C4" s="33" t="s">
        <v>354</v>
      </c>
      <c r="D4" s="34" t="s">
        <v>355</v>
      </c>
    </row>
    <row r="5" spans="2:4" x14ac:dyDescent="0.45">
      <c r="B5" s="33" t="s">
        <v>346</v>
      </c>
      <c r="C5" s="33" t="s">
        <v>356</v>
      </c>
      <c r="D5" s="35" t="s">
        <v>357</v>
      </c>
    </row>
    <row r="6" spans="2:4" x14ac:dyDescent="0.45">
      <c r="B6" s="33" t="s">
        <v>358</v>
      </c>
      <c r="C6" s="33" t="s">
        <v>359</v>
      </c>
      <c r="D6" s="34" t="s">
        <v>360</v>
      </c>
    </row>
    <row r="7" spans="2:4" x14ac:dyDescent="0.45">
      <c r="B7" s="33" t="s">
        <v>361</v>
      </c>
      <c r="C7" s="33" t="s">
        <v>362</v>
      </c>
      <c r="D7" s="34" t="s">
        <v>363</v>
      </c>
    </row>
    <row r="8" spans="2:4" x14ac:dyDescent="0.45">
      <c r="B8" s="33" t="s">
        <v>364</v>
      </c>
      <c r="C8" s="33" t="s">
        <v>365</v>
      </c>
      <c r="D8" s="34" t="s">
        <v>374</v>
      </c>
    </row>
    <row r="9" spans="2:4" x14ac:dyDescent="0.45">
      <c r="B9" s="33" t="s">
        <v>366</v>
      </c>
      <c r="C9" s="33" t="s">
        <v>367</v>
      </c>
      <c r="D9" s="35" t="s">
        <v>368</v>
      </c>
    </row>
    <row r="10" spans="2:4" x14ac:dyDescent="0.45">
      <c r="B10" s="33" t="s">
        <v>369</v>
      </c>
      <c r="C10" s="33" t="s">
        <v>370</v>
      </c>
      <c r="D10" s="34" t="s">
        <v>375</v>
      </c>
    </row>
    <row r="11" spans="2:4" x14ac:dyDescent="0.45">
      <c r="B11" s="33" t="s">
        <v>371</v>
      </c>
      <c r="C11" s="33" t="s">
        <v>372</v>
      </c>
      <c r="D11" s="35" t="s">
        <v>373</v>
      </c>
    </row>
    <row r="12" spans="2:4" x14ac:dyDescent="0.45">
      <c r="B12" s="33" t="s">
        <v>376</v>
      </c>
      <c r="C12" s="33" t="s">
        <v>377</v>
      </c>
      <c r="D12" s="34" t="s">
        <v>383</v>
      </c>
    </row>
    <row r="13" spans="2:4" x14ac:dyDescent="0.45">
      <c r="B13" s="33" t="s">
        <v>378</v>
      </c>
      <c r="C13" s="33" t="s">
        <v>379</v>
      </c>
      <c r="D13" s="35" t="s">
        <v>353</v>
      </c>
    </row>
    <row r="14" spans="2:4" x14ac:dyDescent="0.45">
      <c r="B14" s="33" t="s">
        <v>380</v>
      </c>
      <c r="C14" s="33" t="s">
        <v>381</v>
      </c>
      <c r="D14" s="34" t="s">
        <v>382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수정 내역</vt:lpstr>
      <vt:lpstr>PlayerUnit</vt:lpstr>
      <vt:lpstr>UnitGrowthExp</vt:lpstr>
      <vt:lpstr>EnemyUnit</vt:lpstr>
      <vt:lpstr>EnemyGroup</vt:lpstr>
      <vt:lpstr>ClassSkill</vt:lpstr>
      <vt:lpstr>PlayerWeapon</vt:lpstr>
      <vt:lpstr>SkillRisk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k2503200039</dc:creator>
  <cp:lastModifiedBy>k2104200016</cp:lastModifiedBy>
  <dcterms:created xsi:type="dcterms:W3CDTF">2026-03-30T01:14:21Z</dcterms:created>
  <dcterms:modified xsi:type="dcterms:W3CDTF">2026-07-29T11:24:01Z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