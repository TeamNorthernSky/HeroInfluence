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2104200039\Desktop\작업\. 문서\"/>
    </mc:Choice>
  </mc:AlternateContent>
  <xr:revisionPtr revIDLastSave="0" documentId="13_ncr:1_{9D008DB8-50FE-4076-B8D5-82B202CA13E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문서 개요" sheetId="1" r:id="rId1"/>
    <sheet name="자원 정의" sheetId="2" r:id="rId2"/>
    <sheet name="협회 정의" sheetId="11" r:id="rId3"/>
    <sheet name="필드 자원" sheetId="3" r:id="rId4"/>
    <sheet name="거점" sheetId="7" r:id="rId5"/>
    <sheet name="건설" sheetId="13" r:id="rId6"/>
    <sheet name="본부 자금" sheetId="12" r:id="rId7"/>
    <sheet name="홍보부" sheetId="14" r:id="rId8"/>
    <sheet name="공방(제작)" sheetId="18" r:id="rId9"/>
    <sheet name="공방(강화)" sheetId="19" r:id="rId10"/>
    <sheet name="연구소" sheetId="17" r:id="rId11"/>
    <sheet name="훈련실" sheetId="16" r:id="rId12"/>
    <sheet name="교환소" sheetId="23" r:id="rId13"/>
    <sheet name="의무실" sheetId="2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3" l="1"/>
  <c r="E28" i="23"/>
  <c r="E26" i="23"/>
  <c r="E25" i="23"/>
  <c r="E24" i="23"/>
  <c r="E23" i="23"/>
  <c r="E22" i="23"/>
  <c r="E21" i="23"/>
  <c r="E20" i="23"/>
  <c r="E19" i="23"/>
  <c r="E17" i="23"/>
  <c r="E16" i="23"/>
  <c r="E15" i="23"/>
  <c r="E14" i="23"/>
  <c r="E13" i="23"/>
  <c r="E12" i="23"/>
  <c r="E11" i="23"/>
  <c r="E10" i="23"/>
  <c r="E8" i="23"/>
  <c r="E7" i="23"/>
  <c r="E6" i="23"/>
  <c r="E4" i="23"/>
  <c r="E3" i="23"/>
  <c r="C4" i="12"/>
  <c r="C5" i="12" s="1"/>
</calcChain>
</file>

<file path=xl/sharedStrings.xml><?xml version="1.0" encoding="utf-8"?>
<sst xmlns="http://schemas.openxmlformats.org/spreadsheetml/2006/main" count="748" uniqueCount="317">
  <si>
    <t>《Hero Influence》 자원 데이터 테이블</t>
  </si>
  <si>
    <t>수정 날짜</t>
  </si>
  <si>
    <t>버전</t>
  </si>
  <si>
    <t>담당자</t>
  </si>
  <si>
    <t>수정 내역</t>
  </si>
  <si>
    <t>비고</t>
  </si>
  <si>
    <t>V1.0</t>
  </si>
  <si>
    <t>강현재</t>
  </si>
  <si>
    <t>문서 생성
1) 자원 테이블
2) 협회 테이블</t>
  </si>
  <si>
    <t>V1.1</t>
  </si>
  <si>
    <t>1) 월드 이벤트 테이블 추가
2) 증가 스테이터스 종류 재정렬
3) 자원 밸런싱 기준치 정리</t>
  </si>
  <si>
    <t>V1.2</t>
  </si>
  <si>
    <t>턴 자원 시뮬레이터 추가</t>
  </si>
  <si>
    <t>V1.3</t>
  </si>
  <si>
    <t>자원 아이콘 변경</t>
  </si>
  <si>
    <t>V1.4</t>
  </si>
  <si>
    <t>협회 각 기능별 담당자 초기값 반영</t>
  </si>
  <si>
    <t>V1.5</t>
  </si>
  <si>
    <t>윤태일</t>
  </si>
  <si>
    <t xml:space="preserve">의무실 비용 추가, 1차 자원 밸런스 조정 </t>
  </si>
  <si>
    <t>V1.6</t>
  </si>
  <si>
    <t>2차 자원 밸런스 조정, 부서 해금 조건 변경 (훈련실 해금 -&gt; 교환소 해금)
거점 턴 당 제공량 1로 감소</t>
  </si>
  <si>
    <t>V1.7</t>
  </si>
  <si>
    <t>월드 이벤트 초안 추가</t>
  </si>
  <si>
    <t>V1.8</t>
  </si>
  <si>
    <t>본부 자금 제공 턴/홍보 가능 횟수 리셋 주기 변경</t>
  </si>
  <si>
    <t>V1.9</t>
  </si>
  <si>
    <t>월드 이벤트 테이블 수정</t>
  </si>
  <si>
    <t>V2.0</t>
  </si>
  <si>
    <r>
      <rPr>
        <sz val="11"/>
        <color rgb="FF000000"/>
        <rFont val="맑은 고딕"/>
        <family val="3"/>
      </rPr>
      <t>선택형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월드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이벤트의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이벤트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</rPr>
      <t>선택지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</rPr>
      <t>선택결과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테이블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구조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추가</t>
    </r>
    <r>
      <rPr>
        <sz val="11"/>
        <color rgb="FF000000"/>
        <rFont val="Arial"/>
      </rPr>
      <t xml:space="preserve">
</t>
    </r>
    <r>
      <rPr>
        <sz val="11"/>
        <color rgb="FF000000"/>
        <rFont val="맑은 고딕"/>
        <family val="3"/>
      </rPr>
      <t>이벤트 테이블 분리</t>
    </r>
  </si>
  <si>
    <t>V2.1</t>
  </si>
  <si>
    <t>1. 문서 목적</t>
  </si>
  <si>
    <t xml:space="preserve"> 본 문서는 다음 목적을 가진다.
 1) 《Hero Influence》의 탐사 기반 요소를 데이터 테이블로 정리
   - 자원 수급
   - 거점 생산
   - 월드 이벤트 소비/보상
   - 협회 성장
 2) 프로토타입 레벨의 루트별 턴 진행에 따른 자원 및 스테이터스 증감 흐름 검증
 3) 플레이 유형별 자원 및 스테이터스 증감 흐름을 비교하여 밸런스 검증</t>
  </si>
  <si>
    <t>2. 문서 기획 의도</t>
  </si>
  <si>
    <t xml:space="preserve"> 본 문서는 다음 기획 의도를 가진다.
 1) 플레이어가 제한된 턴과 이동 자원 안에서 다음 선택을 고민하도록 한다.
   - 자원을 먼저 확보할 것인가
   - 전투를 통해 성장할 것인가
   - 자원 확보와 전투 성장을 혼합할 것인가
 2) 각 플레이 유형이 서로 다른 장단점을 가지도록 한다.
   - 자원 위주: 느린 성장 / 높은 안정성
   - 전투 위주: 빠른 스테이터스 성장 / 낮은 안정성
   - 혼합형: 자원 확보와 전투 성장의 중간 기준
 3) 각 플레이 유형별 턴 진행에 따른 자원 및 스테이터스 증감 흐름을 비교한다.
 4) 특정 플레이 방식만 과도하게 유리하거나 불리하지 않도록 밸런스를 검증한다.
 5) 최종적으로 플레이어가 탐사 중 성장 방향을 선택하는 재미를 느끼도록 한다.</t>
  </si>
  <si>
    <t>3. 문서 범위</t>
  </si>
  <si>
    <t xml:space="preserve"> 본 문서는 다음 내용을 다룬다.
 1) &lt;H.I_탐사 시스템&gt;의 필드 자원, 거점 생산, 자원 획득 규칙 테이블화
 2) &lt;H.I_협회 시스템&gt;의 건물 건설/강화 비용 및 기능 효과 테이블화
 3) &lt;탐사_월드이벤트_시스템&gt;의 월드 이벤트 비용, 효과, 발동 조건 테이블화
 4) &lt;H.I_레벨 디자인 기획서&gt;의 프로토타입 루트 기준 턴 진행 시뮬레이터 구성
 5) 루트별 턴 흐름에 따른 자원 증감, 스테이터스 증감, 예상 플레이타임 비교
 6) 자원 위주 루트, 혼합형 루트, 전투 위주 루트 간 밸런스 비교
 다음 내용은 본 문서에서 직접 다루지 않고 다른 문서의 내용을 참조한다.
 1) 맵 레벨 디자인 → H.I_레벨_디자인_기획서
 2) 유닛 개별 스테이터스 및 전투 밸런스 → H.I 전투 데이터 테이블
 3) 협회 시스템의 최종 UX/UI 및 상세 조작 흐름 → H.I_협회 시스템</t>
  </si>
  <si>
    <t>4. 문서 대상</t>
  </si>
  <si>
    <t xml:space="preserve"> 본 문서는 다음을 대상으로 한다.
 1) 탐사/협회 시스템 기획자
 2) 탐사 시스템 프로그래머
 3) 밸런스 담당 기획자</t>
  </si>
  <si>
    <t>1. 자원 구조</t>
  </si>
  <si>
    <t xml:space="preserve"> 《Hero Influence》의 자원 구조는 다음과 같다.
 1) 유닛이나 파티 단위가 아닌, 플레이어 공용 자원으로 통합 관리
    (탐사 화면, 협회 화면 UI를 통해 표시)
 2) 용도
  - 협회 건물 건설/강화
  - 스킬 강화
  - 장비 제작/강화
  - 월드 이벤트 코스트
 3) 획득 방법
  - 필드 자원 클릭을 통해 획득
  - 거점 점령 후 턴 단위 생산
  - 협회 기능 (본부)</t>
  </si>
  <si>
    <t>2. 자원 종류</t>
  </si>
  <si>
    <t>자원 아이콘</t>
  </si>
  <si>
    <t>표시명</t>
  </si>
  <si>
    <t>별칭</t>
  </si>
  <si>
    <t>설명</t>
  </si>
  <si>
    <t>주요 사용처</t>
  </si>
  <si>
    <t>자금</t>
  </si>
  <si>
    <t>돈</t>
  </si>
  <si>
    <t>히어로 파티의 활동을 지원하기 위해 사용되는 기본 운영 자금.
다양한 상황에서 사용한다.</t>
  </si>
  <si>
    <t>범용 소비, 이벤트 소비, 협회 성장</t>
  </si>
  <si>
    <t>히어로 메달</t>
  </si>
  <si>
    <t>메달</t>
  </si>
  <si>
    <t>시민의 지지와 히어로의 활약을 상징하는 명예의 증표.
히어로의 스킬을 강화하는 데 사용한다.</t>
  </si>
  <si>
    <t>스킬 강화</t>
  </si>
  <si>
    <t>히어로 젬</t>
  </si>
  <si>
    <t>수정</t>
  </si>
  <si>
    <t>히어로 장비에 깃든 힘을 증폭시키는 특수한 결정체.
히어로의 장비를 제작하거나 강화하는 데 사용한다.</t>
  </si>
  <si>
    <t>무기/방어구 제작 및 강화</t>
  </si>
  <si>
    <t>자재</t>
  </si>
  <si>
    <t>-</t>
  </si>
  <si>
    <t>모듈형으로 쉽게 조립할 수 있는 건설 자원.
협회 내 새로운 시설을 건설하거나 강화하는 데 사용한다.</t>
  </si>
  <si>
    <t>협회 건물 건설/강화</t>
  </si>
  <si>
    <t>3. 자원 획득</t>
  </si>
  <si>
    <t xml:space="preserve"> 《Hero Influence》에서 자원을 얻기 위한 방법은 다음과 같다.
 1) 탐사 자원 클릭 시 인접 칸 접근 후 1회성 획득
 2) 거점 점령 후 일정 턴마다 획득
 3) 협회 건물 효과로 일정 턴마다 획득</t>
  </si>
  <si>
    <t>개발명</t>
  </si>
  <si>
    <t>필드명</t>
  </si>
  <si>
    <t>타입</t>
  </si>
  <si>
    <t>표기 규칙</t>
  </si>
  <si>
    <t>1. 협회 기능</t>
  </si>
  <si>
    <t>부서명</t>
  </si>
  <si>
    <t>기능 요약</t>
  </si>
  <si>
    <t>사용 자원</t>
  </si>
  <si>
    <t>자원 테이블 관리 항목</t>
  </si>
  <si>
    <t>전투 테이블 관리 항목</t>
  </si>
  <si>
    <t>본부</t>
  </si>
  <si>
    <t>일정 턴마다 자금 지급</t>
  </si>
  <si>
    <t>없음</t>
  </si>
  <si>
    <t>레벨별 자금 지급량</t>
  </si>
  <si>
    <t>협회 내 부서 건설 또는 업그레이드</t>
  </si>
  <si>
    <t>자금 + 자재</t>
  </si>
  <si>
    <t>건물 건설 비용
건물 업그레이드 비용</t>
  </si>
  <si>
    <t>홍보</t>
  </si>
  <si>
    <t>영웅의 현재 IP 충전</t>
  </si>
  <si>
    <t>레벨별 주간 충전 가능 현재 IP량
현재 IP 충전 비용</t>
  </si>
  <si>
    <t>현재 IP 기반 대미지 공식 반영</t>
  </si>
  <si>
    <t>공방</t>
  </si>
  <si>
    <t>신규 장비 제작</t>
  </si>
  <si>
    <t>자금 + 수정</t>
  </si>
  <si>
    <t>장비 제작 비용</t>
  </si>
  <si>
    <t>장비 스테이터스 + 장비 스킬</t>
  </si>
  <si>
    <t>보유 장비 강화</t>
  </si>
  <si>
    <t>장비 단계별 강화 비용</t>
  </si>
  <si>
    <t>장비 단계별 스테이터스</t>
  </si>
  <si>
    <t>연구소</t>
  </si>
  <si>
    <t>보유 스킬 강화</t>
  </si>
  <si>
    <t>자금 +메달</t>
  </si>
  <si>
    <t>스킬 단계별 강화 비용</t>
  </si>
  <si>
    <t>스킬 단계별 스킬 계수</t>
  </si>
  <si>
    <t>트레이닝</t>
  </si>
  <si>
    <t>영웅 스테이터스 증가</t>
  </si>
  <si>
    <t>스테이터스 증가 비용</t>
  </si>
  <si>
    <t>스테이터스 증가량 전투 시뮬레이터에 반영</t>
  </si>
  <si>
    <t>2. 협회-공통 필드 정의</t>
  </si>
  <si>
    <t>예시</t>
  </si>
  <si>
    <t>○(부서) 필요 레벨</t>
  </si>
  <si>
    <t>required_○_level</t>
  </si>
  <si>
    <t>int</t>
  </si>
  <si>
    <t>해당 기능을 작동하기 위해 필요한 ○ 레벨</t>
  </si>
  <si>
    <t>공방 필요 레벨
required_workshop_level</t>
  </si>
  <si>
    <t>○(대상)_레벨</t>
  </si>
  <si>
    <t>to_○_level</t>
  </si>
  <si>
    <t>○의 목표 레벨</t>
  </si>
  <si>
    <t>무기 강화 레벨
to_enchant_level</t>
  </si>
  <si>
    <t>소모 자원 종류</t>
  </si>
  <si>
    <t>cost_resource_○_type</t>
  </si>
  <si>
    <t>소모 자원량</t>
  </si>
  <si>
    <t>cost_resource_○_amount</t>
  </si>
  <si>
    <t>필요한 자원량</t>
  </si>
  <si>
    <t>○ 선행 조건</t>
  </si>
  <si>
    <t>○_condition</t>
  </si>
  <si>
    <t>string</t>
  </si>
  <si>
    <t>무기 강화 선행 조건
enchant_condition</t>
  </si>
  <si>
    <t>note</t>
  </si>
  <si>
    <t>3. 협회-건설 필드 정의</t>
  </si>
  <si>
    <t>건설/강화 건물 종류</t>
  </si>
  <si>
    <t>room_type</t>
  </si>
  <si>
    <t>액션 타입
(0 건설 1 강화)</t>
  </si>
  <si>
    <t>action_type</t>
  </si>
  <si>
    <t>건물 건설/강화 레벨</t>
  </si>
  <si>
    <t>to_room_level</t>
  </si>
  <si>
    <t>소모 자원 종류1
(0 자금 1 메달 2 수정 3 자재)</t>
  </si>
  <si>
    <t>cost_resource_1_type</t>
  </si>
  <si>
    <t>0 자금</t>
  </si>
  <si>
    <t>소모 자원1 소모량</t>
  </si>
  <si>
    <t>cost_resource_1_amount</t>
  </si>
  <si>
    <t>소모 자원 종류2
(0 자금 1 메달 2 수정 3 자재)</t>
  </si>
  <si>
    <t>cost_resource_2_type</t>
  </si>
  <si>
    <t>3 자재</t>
  </si>
  <si>
    <t>소모 자원2 소모량</t>
  </si>
  <si>
    <t>cost_resource_2_amount</t>
  </si>
  <si>
    <t>건물 액션 선행 조건</t>
  </si>
  <si>
    <t>room_action_condition</t>
  </si>
  <si>
    <t>4. 협회-본부 필드 정의</t>
  </si>
  <si>
    <t>본부 레벨</t>
  </si>
  <si>
    <t>main_base_level</t>
  </si>
  <si>
    <t>획득 자원 종류
(0 자금 1 메달 2 수정 3 자재)</t>
  </si>
  <si>
    <t>resource_type</t>
  </si>
  <si>
    <t>획득 수량</t>
  </si>
  <si>
    <t>resource_amount</t>
  </si>
  <si>
    <t>획득 주기</t>
  </si>
  <si>
    <t>resource_cycle</t>
  </si>
  <si>
    <t>턴 단위, 1이면 매턴 지급</t>
  </si>
  <si>
    <t>5. 협회-홍보 필드 정의</t>
  </si>
  <si>
    <t>홍보부 레벨</t>
  </si>
  <si>
    <t>publicity_level</t>
  </si>
  <si>
    <t>소모 자원 종류
(0 자금 1 메달 2 수정 3 자재)</t>
  </si>
  <si>
    <t>cost_resource_type</t>
  </si>
  <si>
    <t>충전 1회당 소모 자원량</t>
  </si>
  <si>
    <t>cost_resource_amount</t>
  </si>
  <si>
    <t>증가 스테이터스 종류
(0 CurrentIP 1 CurrentHP 2 MaxIP 3 MaxHP 4 ATK 5 DEF)</t>
  </si>
  <si>
    <t>charge_status_type</t>
  </si>
  <si>
    <t>0 CurrentIP</t>
  </si>
  <si>
    <t>충전 1회당 증가 IP량</t>
  </si>
  <si>
    <t>ip_amount_per_charge</t>
  </si>
  <si>
    <t>주기 내 최대 충전 가능 IP량</t>
  </si>
  <si>
    <t>ip_charge_limit</t>
  </si>
  <si>
    <t>충전 한도 추가 주기</t>
  </si>
  <si>
    <t>ip_charge_cycle</t>
  </si>
  <si>
    <t>턴 단위, 기본값 7턴</t>
  </si>
  <si>
    <t>6. 협회-공방(제작) 필드 정의</t>
  </si>
  <si>
    <t>공방 필요 레벨</t>
  </si>
  <si>
    <t>required_workshop_level</t>
  </si>
  <si>
    <t>제작 가능 장비군</t>
  </si>
  <si>
    <t>producible_equipment_group</t>
  </si>
  <si>
    <t>제작 가능 무기 인덱스</t>
  </si>
  <si>
    <t>weapon_index_list</t>
  </si>
  <si>
    <t>list</t>
  </si>
  <si>
    <t>2 수정</t>
  </si>
  <si>
    <t>7. 협회-공방(강화) 필드 정의</t>
  </si>
  <si>
    <t>강화 가능 장비군</t>
  </si>
  <si>
    <t>enchantable_equipment_group</t>
  </si>
  <si>
    <t>강화 가능 무기 인덱스</t>
  </si>
  <si>
    <t>장비 강화 레벨</t>
  </si>
  <si>
    <t>to_enchant_level</t>
  </si>
  <si>
    <t>장비 강화 선행 조건</t>
  </si>
  <si>
    <t>enchant_condition</t>
  </si>
  <si>
    <t>8. 협회-연구소 필드 정의</t>
  </si>
  <si>
    <t>연구소 필요 레벨</t>
  </si>
  <si>
    <t>required_lab_level</t>
  </si>
  <si>
    <t>강화 가능 스킬군</t>
  </si>
  <si>
    <t>upgradable_skill_group</t>
  </si>
  <si>
    <t>스킬 강화 레벨</t>
  </si>
  <si>
    <t>to_skill_level</t>
  </si>
  <si>
    <t>1 메달</t>
  </si>
  <si>
    <t>스킬 강화 선행 조건</t>
  </si>
  <si>
    <t>skill_upgrade_condition</t>
  </si>
  <si>
    <t>9. 협회-트레이닝 필드 정의</t>
  </si>
  <si>
    <t>트레이닝룸 필요 레벨</t>
  </si>
  <si>
    <t>required_training_room_level</t>
  </si>
  <si>
    <t>트레이닝명</t>
  </si>
  <si>
    <t>training_name</t>
  </si>
  <si>
    <t>트레이닝 1회당 소모 자원량</t>
  </si>
  <si>
    <t>status_type</t>
  </si>
  <si>
    <t>1 Atk / 2 MaxHP</t>
  </si>
  <si>
    <t>트레이닝 1회당
증가 스테이터스량</t>
  </si>
  <si>
    <t>status_amount_per_training</t>
  </si>
  <si>
    <t>유닛당 트레이닝 가능 횟수</t>
  </si>
  <si>
    <t>training_count_per_unit</t>
  </si>
  <si>
    <t>트레이닝 선행 조건</t>
  </si>
  <si>
    <t>training_condition</t>
  </si>
  <si>
    <t>획득 자원 종류</t>
  </si>
  <si>
    <t>초기 지급량</t>
  </si>
  <si>
    <t>get_resource_type</t>
  </si>
  <si>
    <t>get_resource_amount</t>
  </si>
  <si>
    <t>InitialAmount</t>
  </si>
  <si>
    <t>아티펙트 수정</t>
  </si>
  <si>
    <t>거점명</t>
  </si>
  <si>
    <t>획득 주기 (턴)</t>
  </si>
  <si>
    <t>base_name</t>
  </si>
  <si>
    <t>get_resource_cycle</t>
  </si>
  <si>
    <t>은행</t>
  </si>
  <si>
    <t>1구역 거점</t>
  </si>
  <si>
    <t>도서관</t>
  </si>
  <si>
    <t>미사용</t>
  </si>
  <si>
    <t>보석상</t>
  </si>
  <si>
    <t>공구상</t>
  </si>
  <si>
    <t>액션 타입
(0 건설 1 강화 2기본)</t>
  </si>
  <si>
    <t>본부 Lv.1</t>
  </si>
  <si>
    <t>시작 건물</t>
  </si>
  <si>
    <t>본부 Lv.2</t>
  </si>
  <si>
    <t>본부 Lv.3</t>
  </si>
  <si>
    <t>Max</t>
  </si>
  <si>
    <t>홍보부 Lv.1</t>
  </si>
  <si>
    <t>홍보부 Lv.2</t>
  </si>
  <si>
    <t>홍보부 Lv.3</t>
  </si>
  <si>
    <t>홍보부 Lv.4</t>
  </si>
  <si>
    <t>홍보부 Lv.5</t>
  </si>
  <si>
    <t>공방 Lv.1</t>
  </si>
  <si>
    <t>공방 Lv.2</t>
  </si>
  <si>
    <t>공방 Lv.3</t>
  </si>
  <si>
    <t>공방 Lv.4</t>
  </si>
  <si>
    <t>연구소 Lv.1</t>
  </si>
  <si>
    <t>연구소 Lv.2</t>
  </si>
  <si>
    <t>연구소 Lv.3</t>
  </si>
  <si>
    <t>연구소 Lv.4</t>
  </si>
  <si>
    <t>교환소 Lv.1</t>
  </si>
  <si>
    <t>훈련실 Lv.1</t>
  </si>
  <si>
    <t>교환소 Lv.2</t>
  </si>
  <si>
    <t>교환소 Lv.3</t>
  </si>
  <si>
    <t>공방 Lv.1 + 연구소 Lv.1</t>
  </si>
  <si>
    <t>훈련실 Lv.2</t>
  </si>
  <si>
    <t>훈련실 Lv.3</t>
  </si>
  <si>
    <t>의무실Lv.1</t>
  </si>
  <si>
    <t>의무실Lv.2</t>
  </si>
  <si>
    <t>의무실Lv.3</t>
  </si>
  <si>
    <t>초기값</t>
  </si>
  <si>
    <t>증가치 초기값: 500</t>
  </si>
  <si>
    <t>사용하지 않고 남은 IP는 다음 주기로 이월</t>
  </si>
  <si>
    <t>소모 자원 종류1
(0 자금 1 메달 
2 수정 3 자재)</t>
  </si>
  <si>
    <t>소모 자원 종류2
(0 자금 1 메달 
2 수정 3 자재)</t>
  </si>
  <si>
    <t>광역 코어</t>
  </si>
  <si>
    <t>{HC002}</t>
  </si>
  <si>
    <t>장비별 스테이터스 및 장비 스킬은 전투 테이블 참조</t>
  </si>
  <si>
    <t>방어 코어</t>
  </si>
  <si>
    <t>{HC003}</t>
  </si>
  <si>
    <t>회복 코어</t>
  </si>
  <si>
    <t>{HC004}</t>
  </si>
  <si>
    <t>위압 코어</t>
  </si>
  <si>
    <t>{HC005}</t>
  </si>
  <si>
    <t>기본 코어</t>
  </si>
  <si>
    <t>{HC001}</t>
  </si>
  <si>
    <t>동일 장비 Lv2 강화 완료</t>
  </si>
  <si>
    <t>동일 장비 Lv3 강화 완료</t>
  </si>
  <si>
    <t>동일 장비 Lv4 강화 완료</t>
  </si>
  <si>
    <t>모든 보유 스킬</t>
  </si>
  <si>
    <t>스킬별 스킬 계수는 전투 테이블 참조</t>
  </si>
  <si>
    <t>동일 스킬 Lv2 강화 완료</t>
  </si>
  <si>
    <t>동일 스킬 Lv3 강화 완료</t>
  </si>
  <si>
    <t>동일 스킬 Lv4 강화 완료</t>
  </si>
  <si>
    <t>공격력 트레이닝 Lv1</t>
  </si>
  <si>
    <t>공격력 트레이닝 Lv2</t>
  </si>
  <si>
    <t>공격력 트레이닝 Lv3</t>
  </si>
  <si>
    <t>생명력 트레이닝 Lv1</t>
  </si>
  <si>
    <t>생명력 트레이닝 Lv2</t>
  </si>
  <si>
    <t>생명력 트레이닝 Lv3</t>
  </si>
  <si>
    <t>교환소 레벨</t>
  </si>
  <si>
    <t>1회당 소모 자원량</t>
  </si>
  <si>
    <t>exchange_room_level</t>
  </si>
  <si>
    <t>Lv.1 교환 효율 60%</t>
  </si>
  <si>
    <t>Lv.2 교환 효율 75%</t>
  </si>
  <si>
    <t>Lv.3 교환 효율 90%</t>
  </si>
  <si>
    <t>4. 필드 자원 수급 테이블 필드 정의</t>
  </si>
  <si>
    <t>enum</t>
  </si>
  <si>
    <t>자금, 히어로 메달, 아티펙트 수정, 자재 중 하나</t>
  </si>
  <si>
    <t>필드 자원 1회 획득 수량</t>
  </si>
  <si>
    <t>게임 시작 시 해당 자원의 지급 수량</t>
  </si>
  <si>
    <t>5. 거점 수급 테이블 필드 정의</t>
  </si>
  <si>
    <t>게임 내 표시되는 거점 이름</t>
  </si>
  <si>
    <t>거점이 주기마다 지급하는 수량</t>
  </si>
  <si>
    <t>자원을 획득하는 주기, 턴 단위로 기입</t>
  </si>
  <si>
    <t>부가 설명. 내용이 없으면 빈 셀</t>
  </si>
  <si>
    <t>필요한 자원 종류</t>
  </si>
  <si>
    <t>0 자금 / 1 메달 / 2 수정 / 3 자재</t>
  </si>
  <si>
    <t>선행 조건. 조건 없음은 빈 셀 또는 없음</t>
  </si>
  <si>
    <t>비고. 내용이 없으면 빈 셀</t>
  </si>
  <si>
    <t>건물명+레벨 문자열(예: 홍보부 Lv.2). 레벨은 to_room_level에도 저장</t>
  </si>
  <si>
    <t>0 건설, 1 강화, 2 시작/기본 건물</t>
  </si>
  <si>
    <t>무기 ID 목록. 형식: {HC002,HC003}</t>
  </si>
  <si>
    <r>
      <rPr>
        <sz val="11"/>
        <color rgb="FF000000"/>
        <rFont val="맑은 고딕"/>
        <family val="3"/>
        <charset val="129"/>
      </rPr>
      <t>데이터</t>
    </r>
    <r>
      <rPr>
        <sz val="11"/>
        <color rgb="FF000000"/>
        <rFont val="맑은 고딕"/>
        <family val="3"/>
      </rPr>
      <t xml:space="preserve"> 파싱 구조화</t>
    </r>
    <r>
      <rPr>
        <sz val="11"/>
        <color rgb="FF000000"/>
        <rFont val="Arial"/>
        <family val="3"/>
      </rPr>
      <t xml:space="preserve">
데이터</t>
    </r>
    <r>
      <rPr>
        <sz val="11"/>
        <color rgb="FF000000"/>
        <rFont val="맑은 고딕"/>
        <family val="3"/>
        <charset val="129"/>
      </rPr>
      <t xml:space="preserve"> 밸런스 수정</t>
    </r>
    <phoneticPr fontId="9" type="noConversion"/>
  </si>
  <si>
    <t>V2.2</t>
    <phoneticPr fontId="9" type="noConversion"/>
  </si>
  <si>
    <r>
      <rPr>
        <sz val="11"/>
        <color rgb="FF000000"/>
        <rFont val="맑은 고딕"/>
        <family val="3"/>
        <charset val="129"/>
      </rPr>
      <t>의무실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시트 재생성</t>
    </r>
    <phoneticPr fontId="9" type="noConversion"/>
  </si>
  <si>
    <t>의무실 레벨</t>
    <phoneticPr fontId="9" type="noConversion"/>
  </si>
  <si>
    <t>1회당 소모 자원량</t>
    <phoneticPr fontId="9" type="noConversion"/>
  </si>
  <si>
    <t>1회당 회복량</t>
    <phoneticPr fontId="9" type="noConversion"/>
  </si>
  <si>
    <t>infirmary_level</t>
  </si>
  <si>
    <t>hp_recovery_amount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</si>
</sst>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/mm\/dd\ \(aaa\)"/>
  </numFmts>
  <fonts count="12" x14ac:knownFonts="1">
    <font>
      <sz val="11"/>
      <color theme="1"/>
      <name val="맑은 고딕"/>
    </font>
    <font>
      <sz val="11"/>
      <color rgb="FF006100"/>
      <name val="맑은 고딕"/>
      <family val="3"/>
    </font>
    <font>
      <sz val="24"/>
      <color theme="1"/>
      <name val="맑은 고딕"/>
      <family val="3"/>
    </font>
    <font>
      <b/>
      <sz val="11"/>
      <color theme="1"/>
      <name val="맑은 고딕"/>
      <family val="3"/>
    </font>
    <font>
      <sz val="11"/>
      <color theme="1"/>
      <name val="맑은 고딕"/>
      <family val="3"/>
    </font>
    <font>
      <sz val="11"/>
      <color rgb="FF000000"/>
      <name val="맑은 고딕"/>
      <family val="3"/>
    </font>
    <font>
      <sz val="11"/>
      <color rgb="FF000000"/>
      <name val="Arial"/>
    </font>
    <font>
      <sz val="11"/>
      <color rgb="FF000000"/>
      <name val="Arial"/>
      <family val="2"/>
    </font>
    <font>
      <sz val="11"/>
      <color rgb="FF000000"/>
      <name val="Arial"/>
      <family val="3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6" tint="0.79985961485641044"/>
        <bgColor indexed="65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2"/>
      </patternFill>
    </fill>
    <fill>
      <patternFill patternType="solid">
        <fgColor rgb="FFFFFFFF"/>
      </patternFill>
    </fill>
    <fill>
      <patternFill patternType="solid">
        <fgColor theme="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3" fontId="0" fillId="3" borderId="5" xfId="0" applyNumberForma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>
      <alignment vertical="center"/>
    </xf>
    <xf numFmtId="0" fontId="0" fillId="5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4" fillId="4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left" vertical="center"/>
    </xf>
    <xf numFmtId="0" fontId="8" fillId="9" borderId="8" xfId="0" applyFont="1" applyFill="1" applyBorder="1" applyAlignment="1">
      <alignment horizontal="left" vertical="center" wrapText="1"/>
    </xf>
    <xf numFmtId="0" fontId="4" fillId="3" borderId="5" xfId="0" applyFont="1" applyFill="1" applyBorder="1">
      <alignment vertical="center"/>
    </xf>
    <xf numFmtId="0" fontId="4" fillId="4" borderId="5" xfId="0" applyFont="1" applyFill="1" applyBorder="1">
      <alignment vertical="center"/>
    </xf>
    <xf numFmtId="176" fontId="0" fillId="3" borderId="0" xfId="0" applyNumberForma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left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11" fillId="9" borderId="8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11" borderId="0" xfId="0" applyFill="1">
      <alignment vertical="center"/>
    </xf>
    <xf numFmtId="0" fontId="0" fillId="11" borderId="1" xfId="0" applyFill="1" applyBorder="1">
      <alignment vertical="center"/>
    </xf>
    <xf numFmtId="9" fontId="0" fillId="11" borderId="1" xfId="0" applyNumberFormat="1" applyFill="1" applyBorder="1">
      <alignment vertical="center"/>
    </xf>
  </cellXfs>
  <cellStyles count="2">
    <cellStyle name="좋음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7</xdr:row>
      <xdr:rowOff>38100</xdr:rowOff>
    </xdr:from>
    <xdr:to>
      <xdr:col>1</xdr:col>
      <xdr:colOff>985157</xdr:colOff>
      <xdr:row>7</xdr:row>
      <xdr:rowOff>858157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177144</xdr:colOff>
      <xdr:row>8</xdr:row>
      <xdr:rowOff>30908</xdr:rowOff>
    </xdr:from>
    <xdr:to>
      <xdr:col>1</xdr:col>
      <xdr:colOff>997201</xdr:colOff>
      <xdr:row>8</xdr:row>
      <xdr:rowOff>850965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157347</xdr:colOff>
      <xdr:row>6</xdr:row>
      <xdr:rowOff>36513</xdr:rowOff>
    </xdr:from>
    <xdr:to>
      <xdr:col>1</xdr:col>
      <xdr:colOff>978991</xdr:colOff>
      <xdr:row>6</xdr:row>
      <xdr:rowOff>854982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201518</xdr:colOff>
      <xdr:row>9</xdr:row>
      <xdr:rowOff>27359</xdr:rowOff>
    </xdr:from>
    <xdr:to>
      <xdr:col>1</xdr:col>
      <xdr:colOff>1019987</xdr:colOff>
      <xdr:row>9</xdr:row>
      <xdr:rowOff>858530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0</xdr:rowOff>
    </xdr:from>
    <xdr:to>
      <xdr:col>10</xdr:col>
      <xdr:colOff>166689</xdr:colOff>
      <xdr:row>9</xdr:row>
      <xdr:rowOff>204520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9"/>
  <sheetViews>
    <sheetView tabSelected="1" workbookViewId="0">
      <selection activeCell="B18" sqref="B18"/>
    </sheetView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49.5" x14ac:dyDescent="0.3">
      <c r="B5" s="5">
        <v>46156</v>
      </c>
      <c r="C5" s="5" t="s">
        <v>6</v>
      </c>
      <c r="D5" s="6" t="s">
        <v>7</v>
      </c>
      <c r="E5" s="7" t="s">
        <v>8</v>
      </c>
      <c r="F5" s="5"/>
    </row>
    <row r="6" spans="1:6" ht="49.5" x14ac:dyDescent="0.3">
      <c r="B6" s="5">
        <v>46157</v>
      </c>
      <c r="C6" s="5" t="s">
        <v>9</v>
      </c>
      <c r="D6" s="6" t="s">
        <v>7</v>
      </c>
      <c r="E6" s="7" t="s">
        <v>10</v>
      </c>
      <c r="F6" s="5"/>
    </row>
    <row r="7" spans="1:6" x14ac:dyDescent="0.3">
      <c r="B7" s="5">
        <v>46160</v>
      </c>
      <c r="C7" s="5" t="s">
        <v>11</v>
      </c>
      <c r="D7" s="6" t="s">
        <v>7</v>
      </c>
      <c r="E7" s="7" t="s">
        <v>12</v>
      </c>
      <c r="F7" s="5"/>
    </row>
    <row r="8" spans="1:6" x14ac:dyDescent="0.3">
      <c r="B8" s="5">
        <v>46164</v>
      </c>
      <c r="C8" s="5" t="s">
        <v>13</v>
      </c>
      <c r="D8" s="6" t="s">
        <v>7</v>
      </c>
      <c r="E8" s="7" t="s">
        <v>14</v>
      </c>
      <c r="F8" s="5"/>
    </row>
    <row r="9" spans="1:6" x14ac:dyDescent="0.3">
      <c r="B9" s="5">
        <v>46182</v>
      </c>
      <c r="C9" s="5" t="s">
        <v>15</v>
      </c>
      <c r="D9" s="6" t="s">
        <v>7</v>
      </c>
      <c r="E9" s="7" t="s">
        <v>16</v>
      </c>
      <c r="F9" s="5"/>
    </row>
    <row r="10" spans="1:6" x14ac:dyDescent="0.3">
      <c r="B10" s="5">
        <v>46224</v>
      </c>
      <c r="C10" s="5" t="s">
        <v>17</v>
      </c>
      <c r="D10" s="6" t="s">
        <v>18</v>
      </c>
      <c r="E10" s="7" t="s">
        <v>19</v>
      </c>
      <c r="F10" s="5"/>
    </row>
    <row r="11" spans="1:6" ht="49.5" x14ac:dyDescent="0.3">
      <c r="B11" s="5">
        <v>46225</v>
      </c>
      <c r="C11" s="27" t="s">
        <v>20</v>
      </c>
      <c r="D11" s="6" t="s">
        <v>18</v>
      </c>
      <c r="E11" s="17" t="s">
        <v>21</v>
      </c>
      <c r="F11" s="5"/>
    </row>
    <row r="12" spans="1:6" x14ac:dyDescent="0.3">
      <c r="B12" s="5">
        <v>46227</v>
      </c>
      <c r="C12" s="27" t="s">
        <v>22</v>
      </c>
      <c r="D12" s="14" t="s">
        <v>7</v>
      </c>
      <c r="E12" s="17" t="s">
        <v>23</v>
      </c>
      <c r="F12" s="5"/>
    </row>
    <row r="13" spans="1:6" ht="33" x14ac:dyDescent="0.3">
      <c r="B13" s="5">
        <v>46243</v>
      </c>
      <c r="C13" s="27" t="s">
        <v>24</v>
      </c>
      <c r="D13" s="14" t="s">
        <v>18</v>
      </c>
      <c r="E13" s="17" t="s">
        <v>25</v>
      </c>
      <c r="F13" s="5"/>
    </row>
    <row r="14" spans="1:6" x14ac:dyDescent="0.3">
      <c r="B14" s="5">
        <v>46245</v>
      </c>
      <c r="C14" s="27" t="s">
        <v>26</v>
      </c>
      <c r="D14" s="14" t="s">
        <v>18</v>
      </c>
      <c r="E14" s="17" t="s">
        <v>27</v>
      </c>
      <c r="F14" s="5"/>
    </row>
    <row r="15" spans="1:6" ht="49.5" x14ac:dyDescent="0.3">
      <c r="B15" s="5">
        <v>46246</v>
      </c>
      <c r="C15" s="63" t="s">
        <v>28</v>
      </c>
      <c r="D15" s="63" t="s">
        <v>18</v>
      </c>
      <c r="E15" s="70" t="s">
        <v>29</v>
      </c>
      <c r="F15" s="63"/>
    </row>
    <row r="16" spans="1:6" ht="33" x14ac:dyDescent="0.3">
      <c r="B16" s="5">
        <v>46307</v>
      </c>
      <c r="C16" s="76" t="s">
        <v>30</v>
      </c>
      <c r="D16" s="63" t="s">
        <v>18</v>
      </c>
      <c r="E16" s="80" t="s">
        <v>309</v>
      </c>
      <c r="F16" s="63"/>
    </row>
    <row r="17" spans="1:6" x14ac:dyDescent="0.3">
      <c r="B17" s="5">
        <v>46309</v>
      </c>
      <c r="C17" s="76" t="s">
        <v>310</v>
      </c>
      <c r="D17" s="63" t="s">
        <v>18</v>
      </c>
      <c r="E17" s="80" t="s">
        <v>311</v>
      </c>
      <c r="F17" s="63"/>
    </row>
    <row r="18" spans="1:6" x14ac:dyDescent="0.3">
      <c r="B18" s="73"/>
      <c r="C18" s="74"/>
      <c r="D18" s="74"/>
      <c r="E18" s="75"/>
      <c r="F18" s="74"/>
    </row>
    <row r="19" spans="1:6" ht="38.25" x14ac:dyDescent="0.3">
      <c r="A19" s="2" t="s">
        <v>31</v>
      </c>
      <c r="B19" s="2"/>
    </row>
    <row r="20" spans="1:6" ht="200.1" customHeight="1" x14ac:dyDescent="0.3">
      <c r="B20" s="81" t="s">
        <v>32</v>
      </c>
      <c r="C20" s="81"/>
      <c r="D20" s="81"/>
      <c r="E20" s="81"/>
      <c r="F20" s="81"/>
    </row>
    <row r="22" spans="1:6" ht="38.25" x14ac:dyDescent="0.3">
      <c r="A22" s="2" t="s">
        <v>33</v>
      </c>
      <c r="B22" s="2"/>
    </row>
    <row r="23" spans="1:6" ht="300" customHeight="1" x14ac:dyDescent="0.3">
      <c r="A23" s="2"/>
      <c r="B23" s="81" t="s">
        <v>34</v>
      </c>
      <c r="C23" s="81"/>
      <c r="D23" s="81"/>
      <c r="E23" s="81"/>
      <c r="F23" s="81"/>
    </row>
    <row r="24" spans="1:6" x14ac:dyDescent="0.3">
      <c r="C24" s="8"/>
      <c r="D24" s="8"/>
      <c r="E24" s="8"/>
      <c r="F24" s="8"/>
    </row>
    <row r="25" spans="1:6" ht="38.25" x14ac:dyDescent="0.3">
      <c r="A25" s="2" t="s">
        <v>35</v>
      </c>
      <c r="B25" s="2"/>
    </row>
    <row r="26" spans="1:6" ht="240" customHeight="1" x14ac:dyDescent="0.3">
      <c r="A26" s="2"/>
      <c r="B26" s="81" t="s">
        <v>36</v>
      </c>
      <c r="C26" s="81"/>
      <c r="D26" s="81"/>
      <c r="E26" s="81"/>
      <c r="F26" s="81"/>
    </row>
    <row r="28" spans="1:6" ht="38.25" x14ac:dyDescent="0.3">
      <c r="A28" s="2" t="s">
        <v>37</v>
      </c>
      <c r="B28" s="2"/>
    </row>
    <row r="29" spans="1:6" ht="100.15" customHeight="1" x14ac:dyDescent="0.3">
      <c r="B29" s="82" t="s">
        <v>38</v>
      </c>
      <c r="C29" s="83"/>
      <c r="D29" s="83"/>
      <c r="E29" s="83"/>
      <c r="F29" s="84"/>
    </row>
  </sheetData>
  <mergeCells count="4">
    <mergeCell ref="B20:F20"/>
    <mergeCell ref="B23:F23"/>
    <mergeCell ref="B26:F26"/>
    <mergeCell ref="B29:F29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0"/>
  <sheetViews>
    <sheetView workbookViewId="0"/>
  </sheetViews>
  <sheetFormatPr defaultRowHeight="16.5" x14ac:dyDescent="0.3"/>
  <cols>
    <col min="1" max="1" width="9" style="1"/>
    <col min="2" max="2" width="15.75" style="1" customWidth="1"/>
    <col min="3" max="3" width="19" style="1" customWidth="1"/>
    <col min="4" max="4" width="13.5" style="1" customWidth="1"/>
    <col min="5" max="5" width="48.25" style="1" customWidth="1"/>
    <col min="6" max="6" width="21.75" style="1" customWidth="1"/>
    <col min="7" max="16384" width="9" style="1"/>
  </cols>
  <sheetData>
    <row r="2" spans="1:8" ht="38.25" x14ac:dyDescent="0.3">
      <c r="A2" s="2" t="s">
        <v>39</v>
      </c>
    </row>
    <row r="3" spans="1:8" ht="220.15" customHeight="1" x14ac:dyDescent="0.3">
      <c r="B3" s="81" t="s">
        <v>40</v>
      </c>
      <c r="C3" s="81"/>
      <c r="D3" s="81"/>
      <c r="E3" s="81"/>
      <c r="F3" s="81"/>
    </row>
    <row r="5" spans="1:8" ht="38.25" x14ac:dyDescent="0.3">
      <c r="A5" s="2" t="s">
        <v>41</v>
      </c>
    </row>
    <row r="6" spans="1:8" x14ac:dyDescent="0.3"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9"/>
      <c r="H6" s="9"/>
    </row>
    <row r="7" spans="1:8" ht="70.150000000000006" customHeight="1" x14ac:dyDescent="0.3">
      <c r="B7" s="12"/>
      <c r="C7" s="12" t="s">
        <v>47</v>
      </c>
      <c r="D7" s="12" t="s">
        <v>48</v>
      </c>
      <c r="E7" s="11" t="s">
        <v>49</v>
      </c>
      <c r="F7" s="11" t="s">
        <v>50</v>
      </c>
      <c r="G7" s="10"/>
      <c r="H7" s="10"/>
    </row>
    <row r="8" spans="1:8" ht="70.150000000000006" customHeight="1" x14ac:dyDescent="0.3">
      <c r="B8" s="12"/>
      <c r="C8" s="12" t="s">
        <v>51</v>
      </c>
      <c r="D8" s="12" t="s">
        <v>52</v>
      </c>
      <c r="E8" s="11" t="s">
        <v>53</v>
      </c>
      <c r="F8" s="11" t="s">
        <v>54</v>
      </c>
      <c r="G8" s="10"/>
      <c r="H8" s="10"/>
    </row>
    <row r="9" spans="1:8" ht="70.150000000000006" customHeight="1" x14ac:dyDescent="0.3">
      <c r="B9" s="12"/>
      <c r="C9" s="25" t="s">
        <v>55</v>
      </c>
      <c r="D9" s="12" t="s">
        <v>56</v>
      </c>
      <c r="E9" s="11" t="s">
        <v>57</v>
      </c>
      <c r="F9" s="11" t="s">
        <v>58</v>
      </c>
      <c r="G9" s="10"/>
      <c r="H9" s="10"/>
    </row>
    <row r="10" spans="1:8" ht="70.150000000000006" customHeight="1" x14ac:dyDescent="0.3">
      <c r="B10" s="12"/>
      <c r="C10" s="12" t="s">
        <v>59</v>
      </c>
      <c r="D10" s="12" t="s">
        <v>60</v>
      </c>
      <c r="E10" s="11" t="s">
        <v>61</v>
      </c>
      <c r="F10" s="11" t="s">
        <v>62</v>
      </c>
      <c r="G10" s="10"/>
      <c r="H10" s="10"/>
    </row>
    <row r="12" spans="1:8" ht="38.25" x14ac:dyDescent="0.3">
      <c r="A12" s="2" t="s">
        <v>63</v>
      </c>
    </row>
    <row r="13" spans="1:8" ht="90" customHeight="1" x14ac:dyDescent="0.3">
      <c r="B13" s="81" t="s">
        <v>64</v>
      </c>
      <c r="C13" s="81"/>
      <c r="D13" s="81"/>
      <c r="E13" s="81"/>
      <c r="F13" s="81"/>
    </row>
    <row r="15" spans="1:8" ht="38.25" x14ac:dyDescent="0.3">
      <c r="A15" s="2" t="s">
        <v>292</v>
      </c>
    </row>
    <row r="16" spans="1:8" x14ac:dyDescent="0.3">
      <c r="B16" s="4" t="s">
        <v>65</v>
      </c>
      <c r="C16" s="4" t="s">
        <v>66</v>
      </c>
      <c r="D16" s="4" t="s">
        <v>67</v>
      </c>
      <c r="E16" s="4" t="s">
        <v>68</v>
      </c>
    </row>
    <row r="17" spans="1:5" x14ac:dyDescent="0.3">
      <c r="B17" s="14" t="s">
        <v>211</v>
      </c>
      <c r="C17" s="14" t="s">
        <v>213</v>
      </c>
      <c r="D17" s="14" t="s">
        <v>293</v>
      </c>
      <c r="E17" s="15" t="s">
        <v>294</v>
      </c>
    </row>
    <row r="18" spans="1:5" x14ac:dyDescent="0.3">
      <c r="B18" s="14" t="s">
        <v>148</v>
      </c>
      <c r="C18" s="14" t="s">
        <v>214</v>
      </c>
      <c r="D18" s="14" t="s">
        <v>107</v>
      </c>
      <c r="E18" s="15" t="s">
        <v>295</v>
      </c>
    </row>
    <row r="19" spans="1:5" x14ac:dyDescent="0.3">
      <c r="B19" s="14" t="s">
        <v>212</v>
      </c>
      <c r="C19" s="14" t="s">
        <v>215</v>
      </c>
      <c r="D19" s="14" t="s">
        <v>107</v>
      </c>
      <c r="E19" s="15" t="s">
        <v>296</v>
      </c>
    </row>
    <row r="20" spans="1:5" x14ac:dyDescent="0.3">
      <c r="B20" s="14"/>
      <c r="C20" s="14"/>
      <c r="D20" s="14"/>
      <c r="E20" s="17"/>
    </row>
    <row r="21" spans="1:5" x14ac:dyDescent="0.3">
      <c r="B21" s="14"/>
      <c r="C21" s="14"/>
      <c r="D21" s="14"/>
      <c r="E21" s="15"/>
    </row>
    <row r="23" spans="1:5" ht="38.25" x14ac:dyDescent="0.3">
      <c r="A23" s="2" t="s">
        <v>297</v>
      </c>
    </row>
    <row r="24" spans="1:5" x14ac:dyDescent="0.3">
      <c r="B24" s="4" t="s">
        <v>65</v>
      </c>
      <c r="C24" s="4" t="s">
        <v>66</v>
      </c>
      <c r="D24" s="4" t="s">
        <v>67</v>
      </c>
      <c r="E24" s="4" t="s">
        <v>68</v>
      </c>
    </row>
    <row r="25" spans="1:5" x14ac:dyDescent="0.3">
      <c r="B25" s="14" t="s">
        <v>217</v>
      </c>
      <c r="C25" s="14" t="s">
        <v>219</v>
      </c>
      <c r="D25" s="14" t="s">
        <v>121</v>
      </c>
      <c r="E25" s="17" t="s">
        <v>298</v>
      </c>
    </row>
    <row r="26" spans="1:5" x14ac:dyDescent="0.3">
      <c r="B26" s="14" t="s">
        <v>211</v>
      </c>
      <c r="C26" s="14" t="s">
        <v>213</v>
      </c>
      <c r="D26" s="14" t="s">
        <v>293</v>
      </c>
      <c r="E26" s="17" t="s">
        <v>294</v>
      </c>
    </row>
    <row r="27" spans="1:5" x14ac:dyDescent="0.3">
      <c r="B27" s="14" t="s">
        <v>148</v>
      </c>
      <c r="C27" s="14" t="s">
        <v>214</v>
      </c>
      <c r="D27" s="14" t="s">
        <v>107</v>
      </c>
      <c r="E27" s="15" t="s">
        <v>299</v>
      </c>
    </row>
    <row r="28" spans="1:5" x14ac:dyDescent="0.3">
      <c r="B28" s="14" t="s">
        <v>218</v>
      </c>
      <c r="C28" s="14" t="s">
        <v>220</v>
      </c>
      <c r="D28" s="14" t="s">
        <v>107</v>
      </c>
      <c r="E28" s="17" t="s">
        <v>300</v>
      </c>
    </row>
    <row r="29" spans="1:5" x14ac:dyDescent="0.3">
      <c r="B29" s="14" t="s">
        <v>5</v>
      </c>
      <c r="C29" s="14" t="s">
        <v>123</v>
      </c>
      <c r="D29" s="14" t="s">
        <v>121</v>
      </c>
      <c r="E29" s="15" t="s">
        <v>301</v>
      </c>
    </row>
    <row r="30" spans="1:5" x14ac:dyDescent="0.3">
      <c r="B30" s="14"/>
      <c r="C30" s="14"/>
      <c r="D30" s="14"/>
      <c r="E30" s="15"/>
    </row>
  </sheetData>
  <mergeCells count="2">
    <mergeCell ref="B3:F3"/>
    <mergeCell ref="B13:F13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8"/>
  <sheetViews>
    <sheetView workbookViewId="0"/>
  </sheetViews>
  <sheetFormatPr defaultRowHeight="16.5" x14ac:dyDescent="0.3"/>
  <cols>
    <col min="1" max="1" width="9" style="1"/>
    <col min="2" max="2" width="30.125" style="1" customWidth="1"/>
    <col min="3" max="3" width="30.625" style="1" customWidth="1"/>
    <col min="4" max="4" width="20.625" style="1" customWidth="1"/>
    <col min="5" max="5" width="30.625" style="1" customWidth="1"/>
    <col min="6" max="6" width="40.625" style="1" customWidth="1"/>
    <col min="7" max="16384" width="9" style="1"/>
  </cols>
  <sheetData>
    <row r="2" spans="1:6" ht="38.25" x14ac:dyDescent="0.3">
      <c r="A2" s="2" t="s">
        <v>69</v>
      </c>
    </row>
    <row r="3" spans="1:6" x14ac:dyDescent="0.3"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</row>
    <row r="4" spans="1:6" x14ac:dyDescent="0.3">
      <c r="B4" s="6" t="s">
        <v>75</v>
      </c>
      <c r="C4" s="18" t="s">
        <v>76</v>
      </c>
      <c r="D4" s="6" t="s">
        <v>77</v>
      </c>
      <c r="E4" s="18" t="s">
        <v>78</v>
      </c>
      <c r="F4" s="6" t="s">
        <v>60</v>
      </c>
    </row>
    <row r="5" spans="1:6" ht="33" x14ac:dyDescent="0.3">
      <c r="B5" s="6" t="s">
        <v>75</v>
      </c>
      <c r="C5" s="18" t="s">
        <v>79</v>
      </c>
      <c r="D5" s="6" t="s">
        <v>80</v>
      </c>
      <c r="E5" s="11" t="s">
        <v>81</v>
      </c>
      <c r="F5" s="12" t="s">
        <v>60</v>
      </c>
    </row>
    <row r="6" spans="1:6" ht="33" x14ac:dyDescent="0.3">
      <c r="B6" s="6" t="s">
        <v>82</v>
      </c>
      <c r="C6" s="18" t="s">
        <v>83</v>
      </c>
      <c r="D6" s="6" t="s">
        <v>47</v>
      </c>
      <c r="E6" s="11" t="s">
        <v>84</v>
      </c>
      <c r="F6" s="11" t="s">
        <v>85</v>
      </c>
    </row>
    <row r="7" spans="1:6" x14ac:dyDescent="0.3">
      <c r="B7" s="6" t="s">
        <v>86</v>
      </c>
      <c r="C7" s="18" t="s">
        <v>87</v>
      </c>
      <c r="D7" s="6" t="s">
        <v>88</v>
      </c>
      <c r="E7" s="18" t="s">
        <v>89</v>
      </c>
      <c r="F7" s="18" t="s">
        <v>90</v>
      </c>
    </row>
    <row r="8" spans="1:6" x14ac:dyDescent="0.3">
      <c r="B8" s="6" t="s">
        <v>86</v>
      </c>
      <c r="C8" s="18" t="s">
        <v>91</v>
      </c>
      <c r="D8" s="6" t="s">
        <v>88</v>
      </c>
      <c r="E8" s="18" t="s">
        <v>92</v>
      </c>
      <c r="F8" s="18" t="s">
        <v>93</v>
      </c>
    </row>
    <row r="9" spans="1:6" x14ac:dyDescent="0.3">
      <c r="B9" s="6" t="s">
        <v>94</v>
      </c>
      <c r="C9" s="18" t="s">
        <v>95</v>
      </c>
      <c r="D9" s="6" t="s">
        <v>96</v>
      </c>
      <c r="E9" s="18" t="s">
        <v>97</v>
      </c>
      <c r="F9" s="18" t="s">
        <v>98</v>
      </c>
    </row>
    <row r="10" spans="1:6" x14ac:dyDescent="0.3">
      <c r="B10" s="6" t="s">
        <v>99</v>
      </c>
      <c r="C10" s="18" t="s">
        <v>100</v>
      </c>
      <c r="D10" s="6" t="s">
        <v>47</v>
      </c>
      <c r="E10" s="18" t="s">
        <v>101</v>
      </c>
      <c r="F10" s="18" t="s">
        <v>102</v>
      </c>
    </row>
    <row r="11" spans="1:6" x14ac:dyDescent="0.3">
      <c r="B11" s="13"/>
      <c r="C11" s="21"/>
      <c r="D11" s="13"/>
      <c r="E11" s="21"/>
      <c r="F11" s="21"/>
    </row>
    <row r="12" spans="1:6" ht="38.25" x14ac:dyDescent="0.3">
      <c r="A12" s="2" t="s">
        <v>103</v>
      </c>
    </row>
    <row r="13" spans="1:6" x14ac:dyDescent="0.3">
      <c r="B13" s="4" t="s">
        <v>65</v>
      </c>
      <c r="C13" s="4" t="s">
        <v>68</v>
      </c>
      <c r="D13" s="4" t="s">
        <v>67</v>
      </c>
      <c r="E13" s="4" t="s">
        <v>45</v>
      </c>
      <c r="F13" s="4" t="s">
        <v>104</v>
      </c>
    </row>
    <row r="14" spans="1:6" ht="33" x14ac:dyDescent="0.3">
      <c r="B14" s="6" t="s">
        <v>105</v>
      </c>
      <c r="C14" s="6" t="s">
        <v>106</v>
      </c>
      <c r="D14" s="6" t="s">
        <v>107</v>
      </c>
      <c r="E14" s="7" t="s">
        <v>108</v>
      </c>
      <c r="F14" s="7" t="s">
        <v>109</v>
      </c>
    </row>
    <row r="15" spans="1:6" ht="33" x14ac:dyDescent="0.3">
      <c r="B15" s="6" t="s">
        <v>110</v>
      </c>
      <c r="C15" s="6" t="s">
        <v>111</v>
      </c>
      <c r="D15" s="6" t="s">
        <v>107</v>
      </c>
      <c r="E15" s="16" t="s">
        <v>112</v>
      </c>
      <c r="F15" s="7" t="s">
        <v>113</v>
      </c>
    </row>
    <row r="16" spans="1:6" x14ac:dyDescent="0.3">
      <c r="B16" s="6" t="s">
        <v>114</v>
      </c>
      <c r="C16" s="6" t="s">
        <v>115</v>
      </c>
      <c r="D16" s="6" t="s">
        <v>107</v>
      </c>
      <c r="E16" s="16" t="s">
        <v>302</v>
      </c>
      <c r="F16" s="16" t="s">
        <v>303</v>
      </c>
    </row>
    <row r="17" spans="1:6" x14ac:dyDescent="0.3">
      <c r="B17" s="6" t="s">
        <v>116</v>
      </c>
      <c r="C17" s="6" t="s">
        <v>117</v>
      </c>
      <c r="D17" s="6" t="s">
        <v>107</v>
      </c>
      <c r="E17" s="16" t="s">
        <v>118</v>
      </c>
      <c r="F17" s="16"/>
    </row>
    <row r="18" spans="1:6" ht="33" x14ac:dyDescent="0.3">
      <c r="B18" s="6" t="s">
        <v>119</v>
      </c>
      <c r="C18" s="6" t="s">
        <v>120</v>
      </c>
      <c r="D18" s="6" t="s">
        <v>121</v>
      </c>
      <c r="E18" s="16" t="s">
        <v>304</v>
      </c>
      <c r="F18" s="7" t="s">
        <v>122</v>
      </c>
    </row>
    <row r="19" spans="1:6" x14ac:dyDescent="0.3">
      <c r="B19" s="6" t="s">
        <v>5</v>
      </c>
      <c r="C19" s="6" t="s">
        <v>123</v>
      </c>
      <c r="D19" s="6" t="s">
        <v>121</v>
      </c>
      <c r="E19" s="16" t="s">
        <v>305</v>
      </c>
      <c r="F19" s="16"/>
    </row>
    <row r="21" spans="1:6" ht="38.25" x14ac:dyDescent="0.3">
      <c r="A21" s="2" t="s">
        <v>124</v>
      </c>
    </row>
    <row r="22" spans="1:6" x14ac:dyDescent="0.3">
      <c r="B22" s="4" t="s">
        <v>65</v>
      </c>
      <c r="C22" s="4" t="s">
        <v>66</v>
      </c>
      <c r="D22" s="4" t="s">
        <v>67</v>
      </c>
      <c r="E22" s="4" t="s">
        <v>68</v>
      </c>
    </row>
    <row r="23" spans="1:6" ht="49.5" x14ac:dyDescent="0.3">
      <c r="B23" s="12" t="s">
        <v>125</v>
      </c>
      <c r="C23" s="6" t="s">
        <v>126</v>
      </c>
      <c r="D23" s="6" t="s">
        <v>121</v>
      </c>
      <c r="E23" s="7" t="s">
        <v>306</v>
      </c>
    </row>
    <row r="24" spans="1:6" ht="33" x14ac:dyDescent="0.3">
      <c r="B24" s="12" t="s">
        <v>127</v>
      </c>
      <c r="C24" s="6" t="s">
        <v>128</v>
      </c>
      <c r="D24" s="6" t="s">
        <v>107</v>
      </c>
      <c r="E24" s="15" t="s">
        <v>307</v>
      </c>
    </row>
    <row r="25" spans="1:6" x14ac:dyDescent="0.3">
      <c r="B25" s="6" t="s">
        <v>129</v>
      </c>
      <c r="C25" s="6" t="s">
        <v>130</v>
      </c>
      <c r="D25" s="6" t="s">
        <v>107</v>
      </c>
      <c r="E25" s="16"/>
    </row>
    <row r="26" spans="1:6" ht="33" x14ac:dyDescent="0.3">
      <c r="B26" s="12" t="s">
        <v>131</v>
      </c>
      <c r="C26" s="6" t="s">
        <v>132</v>
      </c>
      <c r="D26" s="6" t="s">
        <v>107</v>
      </c>
      <c r="E26" s="7" t="s">
        <v>133</v>
      </c>
    </row>
    <row r="27" spans="1:6" x14ac:dyDescent="0.3">
      <c r="B27" s="6" t="s">
        <v>134</v>
      </c>
      <c r="C27" s="6" t="s">
        <v>135</v>
      </c>
      <c r="D27" s="6" t="s">
        <v>107</v>
      </c>
      <c r="E27" s="16"/>
    </row>
    <row r="28" spans="1:6" ht="33" x14ac:dyDescent="0.3">
      <c r="B28" s="12" t="s">
        <v>136</v>
      </c>
      <c r="C28" s="6" t="s">
        <v>137</v>
      </c>
      <c r="D28" s="6" t="s">
        <v>107</v>
      </c>
      <c r="E28" s="7" t="s">
        <v>138</v>
      </c>
    </row>
    <row r="29" spans="1:6" x14ac:dyDescent="0.3">
      <c r="B29" s="6" t="s">
        <v>139</v>
      </c>
      <c r="C29" s="6" t="s">
        <v>140</v>
      </c>
      <c r="D29" s="6" t="s">
        <v>107</v>
      </c>
      <c r="E29" s="16"/>
    </row>
    <row r="30" spans="1:6" x14ac:dyDescent="0.3">
      <c r="B30" s="6" t="s">
        <v>141</v>
      </c>
      <c r="C30" s="6" t="s">
        <v>142</v>
      </c>
      <c r="D30" s="6" t="s">
        <v>121</v>
      </c>
      <c r="E30" s="16"/>
    </row>
    <row r="31" spans="1:6" x14ac:dyDescent="0.3">
      <c r="B31" s="6" t="s">
        <v>5</v>
      </c>
      <c r="C31" s="6" t="s">
        <v>123</v>
      </c>
      <c r="D31" s="6" t="s">
        <v>121</v>
      </c>
      <c r="E31" s="16"/>
    </row>
    <row r="33" spans="1:5" ht="38.25" x14ac:dyDescent="0.3">
      <c r="A33" s="2" t="s">
        <v>143</v>
      </c>
    </row>
    <row r="34" spans="1:5" x14ac:dyDescent="0.3">
      <c r="B34" s="4" t="s">
        <v>65</v>
      </c>
      <c r="C34" s="4" t="s">
        <v>66</v>
      </c>
      <c r="D34" s="4" t="s">
        <v>67</v>
      </c>
      <c r="E34" s="4" t="s">
        <v>68</v>
      </c>
    </row>
    <row r="35" spans="1:5" x14ac:dyDescent="0.3">
      <c r="B35" s="6" t="s">
        <v>144</v>
      </c>
      <c r="C35" s="6" t="s">
        <v>145</v>
      </c>
      <c r="D35" s="6" t="s">
        <v>107</v>
      </c>
      <c r="E35" s="7"/>
    </row>
    <row r="36" spans="1:5" ht="33" x14ac:dyDescent="0.3">
      <c r="B36" s="12" t="s">
        <v>146</v>
      </c>
      <c r="C36" s="6" t="s">
        <v>147</v>
      </c>
      <c r="D36" s="6" t="s">
        <v>107</v>
      </c>
      <c r="E36" s="7" t="s">
        <v>133</v>
      </c>
    </row>
    <row r="37" spans="1:5" x14ac:dyDescent="0.3">
      <c r="B37" s="6" t="s">
        <v>148</v>
      </c>
      <c r="C37" s="6" t="s">
        <v>149</v>
      </c>
      <c r="D37" s="6" t="s">
        <v>107</v>
      </c>
      <c r="E37" s="16"/>
    </row>
    <row r="38" spans="1:5" x14ac:dyDescent="0.3">
      <c r="B38" s="6" t="s">
        <v>150</v>
      </c>
      <c r="C38" s="6" t="s">
        <v>151</v>
      </c>
      <c r="D38" s="6" t="s">
        <v>107</v>
      </c>
      <c r="E38" s="16" t="s">
        <v>152</v>
      </c>
    </row>
    <row r="39" spans="1:5" x14ac:dyDescent="0.3">
      <c r="B39" s="6" t="s">
        <v>5</v>
      </c>
      <c r="C39" s="6" t="s">
        <v>123</v>
      </c>
      <c r="D39" s="6" t="s">
        <v>121</v>
      </c>
      <c r="E39" s="16"/>
    </row>
    <row r="41" spans="1:5" ht="38.25" x14ac:dyDescent="0.3">
      <c r="A41" s="2" t="s">
        <v>153</v>
      </c>
    </row>
    <row r="42" spans="1:5" x14ac:dyDescent="0.3">
      <c r="B42" s="4" t="s">
        <v>65</v>
      </c>
      <c r="C42" s="4" t="s">
        <v>66</v>
      </c>
      <c r="D42" s="4" t="s">
        <v>67</v>
      </c>
      <c r="E42" s="4" t="s">
        <v>68</v>
      </c>
    </row>
    <row r="43" spans="1:5" x14ac:dyDescent="0.3">
      <c r="B43" s="6" t="s">
        <v>154</v>
      </c>
      <c r="C43" s="6" t="s">
        <v>155</v>
      </c>
      <c r="D43" s="6" t="s">
        <v>107</v>
      </c>
      <c r="E43" s="16"/>
    </row>
    <row r="44" spans="1:5" ht="33" x14ac:dyDescent="0.3">
      <c r="B44" s="12" t="s">
        <v>156</v>
      </c>
      <c r="C44" s="6" t="s">
        <v>157</v>
      </c>
      <c r="D44" s="6" t="s">
        <v>107</v>
      </c>
      <c r="E44" s="7" t="s">
        <v>133</v>
      </c>
    </row>
    <row r="45" spans="1:5" x14ac:dyDescent="0.3">
      <c r="B45" s="6" t="s">
        <v>158</v>
      </c>
      <c r="C45" s="6" t="s">
        <v>159</v>
      </c>
      <c r="D45" s="6" t="s">
        <v>107</v>
      </c>
      <c r="E45" s="16"/>
    </row>
    <row r="46" spans="1:5" ht="57" customHeight="1" x14ac:dyDescent="0.3">
      <c r="B46" s="12" t="s">
        <v>160</v>
      </c>
      <c r="C46" s="6" t="s">
        <v>161</v>
      </c>
      <c r="D46" s="6" t="s">
        <v>107</v>
      </c>
      <c r="E46" s="16" t="s">
        <v>162</v>
      </c>
    </row>
    <row r="47" spans="1:5" x14ac:dyDescent="0.3">
      <c r="B47" s="6" t="s">
        <v>163</v>
      </c>
      <c r="C47" s="6" t="s">
        <v>164</v>
      </c>
      <c r="D47" s="6" t="s">
        <v>107</v>
      </c>
      <c r="E47" s="16"/>
    </row>
    <row r="48" spans="1:5" x14ac:dyDescent="0.3">
      <c r="B48" s="6" t="s">
        <v>165</v>
      </c>
      <c r="C48" s="6" t="s">
        <v>166</v>
      </c>
      <c r="D48" s="6" t="s">
        <v>107</v>
      </c>
      <c r="E48" s="16"/>
    </row>
    <row r="49" spans="1:5" x14ac:dyDescent="0.3">
      <c r="B49" s="6" t="s">
        <v>167</v>
      </c>
      <c r="C49" s="6" t="s">
        <v>168</v>
      </c>
      <c r="D49" s="6" t="s">
        <v>107</v>
      </c>
      <c r="E49" s="16" t="s">
        <v>169</v>
      </c>
    </row>
    <row r="50" spans="1:5" x14ac:dyDescent="0.3">
      <c r="B50" s="6" t="s">
        <v>5</v>
      </c>
      <c r="C50" s="6" t="s">
        <v>123</v>
      </c>
      <c r="D50" s="6" t="s">
        <v>121</v>
      </c>
      <c r="E50" s="16"/>
    </row>
    <row r="52" spans="1:5" ht="38.25" x14ac:dyDescent="0.3">
      <c r="A52" s="2" t="s">
        <v>170</v>
      </c>
    </row>
    <row r="53" spans="1:5" x14ac:dyDescent="0.3">
      <c r="B53" s="4" t="s">
        <v>65</v>
      </c>
      <c r="C53" s="4" t="s">
        <v>66</v>
      </c>
      <c r="D53" s="4" t="s">
        <v>67</v>
      </c>
      <c r="E53" s="4" t="s">
        <v>68</v>
      </c>
    </row>
    <row r="54" spans="1:5" x14ac:dyDescent="0.3">
      <c r="B54" s="6" t="s">
        <v>171</v>
      </c>
      <c r="C54" s="6" t="s">
        <v>172</v>
      </c>
      <c r="D54" s="6" t="s">
        <v>107</v>
      </c>
      <c r="E54" s="16"/>
    </row>
    <row r="55" spans="1:5" x14ac:dyDescent="0.3">
      <c r="B55" s="6" t="s">
        <v>173</v>
      </c>
      <c r="C55" s="6" t="s">
        <v>174</v>
      </c>
      <c r="D55" s="6" t="s">
        <v>121</v>
      </c>
      <c r="E55" s="16"/>
    </row>
    <row r="56" spans="1:5" x14ac:dyDescent="0.3">
      <c r="B56" s="6" t="s">
        <v>175</v>
      </c>
      <c r="C56" s="6" t="s">
        <v>176</v>
      </c>
      <c r="D56" s="6" t="s">
        <v>177</v>
      </c>
      <c r="E56" s="16" t="s">
        <v>308</v>
      </c>
    </row>
    <row r="57" spans="1:5" ht="33" x14ac:dyDescent="0.3">
      <c r="B57" s="12" t="s">
        <v>131</v>
      </c>
      <c r="C57" s="6" t="s">
        <v>132</v>
      </c>
      <c r="D57" s="6" t="s">
        <v>107</v>
      </c>
      <c r="E57" s="7" t="s">
        <v>133</v>
      </c>
    </row>
    <row r="58" spans="1:5" x14ac:dyDescent="0.3">
      <c r="B58" s="6" t="s">
        <v>134</v>
      </c>
      <c r="C58" s="6" t="s">
        <v>135</v>
      </c>
      <c r="D58" s="6" t="s">
        <v>107</v>
      </c>
      <c r="E58" s="16"/>
    </row>
    <row r="59" spans="1:5" ht="33" x14ac:dyDescent="0.3">
      <c r="B59" s="12" t="s">
        <v>136</v>
      </c>
      <c r="C59" s="6" t="s">
        <v>137</v>
      </c>
      <c r="D59" s="6" t="s">
        <v>107</v>
      </c>
      <c r="E59" s="7" t="s">
        <v>178</v>
      </c>
    </row>
    <row r="60" spans="1:5" x14ac:dyDescent="0.3">
      <c r="B60" s="6" t="s">
        <v>139</v>
      </c>
      <c r="C60" s="6" t="s">
        <v>140</v>
      </c>
      <c r="D60" s="6" t="s">
        <v>107</v>
      </c>
      <c r="E60" s="16"/>
    </row>
    <row r="61" spans="1:5" x14ac:dyDescent="0.3">
      <c r="B61" s="6" t="s">
        <v>5</v>
      </c>
      <c r="C61" s="6" t="s">
        <v>123</v>
      </c>
      <c r="D61" s="6" t="s">
        <v>121</v>
      </c>
      <c r="E61" s="16"/>
    </row>
    <row r="62" spans="1:5" x14ac:dyDescent="0.3">
      <c r="B62" s="13"/>
      <c r="C62" s="13"/>
      <c r="D62" s="13"/>
    </row>
    <row r="63" spans="1:5" ht="38.25" x14ac:dyDescent="0.3">
      <c r="A63" s="2" t="s">
        <v>179</v>
      </c>
    </row>
    <row r="64" spans="1:5" x14ac:dyDescent="0.3">
      <c r="B64" s="4" t="s">
        <v>65</v>
      </c>
      <c r="C64" s="4" t="s">
        <v>66</v>
      </c>
      <c r="D64" s="4" t="s">
        <v>67</v>
      </c>
      <c r="E64" s="4" t="s">
        <v>68</v>
      </c>
    </row>
    <row r="65" spans="1:5" x14ac:dyDescent="0.3">
      <c r="B65" s="6" t="s">
        <v>171</v>
      </c>
      <c r="C65" s="6" t="s">
        <v>172</v>
      </c>
      <c r="D65" s="6" t="s">
        <v>107</v>
      </c>
      <c r="E65" s="16"/>
    </row>
    <row r="66" spans="1:5" x14ac:dyDescent="0.3">
      <c r="B66" s="6" t="s">
        <v>180</v>
      </c>
      <c r="C66" s="6" t="s">
        <v>181</v>
      </c>
      <c r="D66" s="6" t="s">
        <v>121</v>
      </c>
      <c r="E66" s="16"/>
    </row>
    <row r="67" spans="1:5" x14ac:dyDescent="0.3">
      <c r="B67" s="6" t="s">
        <v>182</v>
      </c>
      <c r="C67" s="6" t="s">
        <v>176</v>
      </c>
      <c r="D67" s="6" t="s">
        <v>177</v>
      </c>
      <c r="E67" s="16" t="s">
        <v>308</v>
      </c>
    </row>
    <row r="68" spans="1:5" x14ac:dyDescent="0.3">
      <c r="B68" s="6" t="s">
        <v>183</v>
      </c>
      <c r="C68" s="6" t="s">
        <v>184</v>
      </c>
      <c r="D68" s="6" t="s">
        <v>107</v>
      </c>
      <c r="E68" s="16"/>
    </row>
    <row r="69" spans="1:5" ht="33" x14ac:dyDescent="0.3">
      <c r="B69" s="12" t="s">
        <v>131</v>
      </c>
      <c r="C69" s="6" t="s">
        <v>132</v>
      </c>
      <c r="D69" s="6" t="s">
        <v>107</v>
      </c>
      <c r="E69" s="7" t="s">
        <v>133</v>
      </c>
    </row>
    <row r="70" spans="1:5" x14ac:dyDescent="0.3">
      <c r="B70" s="6" t="s">
        <v>134</v>
      </c>
      <c r="C70" s="6" t="s">
        <v>135</v>
      </c>
      <c r="D70" s="6" t="s">
        <v>107</v>
      </c>
      <c r="E70" s="16"/>
    </row>
    <row r="71" spans="1:5" ht="33" x14ac:dyDescent="0.3">
      <c r="B71" s="12" t="s">
        <v>136</v>
      </c>
      <c r="C71" s="6" t="s">
        <v>137</v>
      </c>
      <c r="D71" s="6" t="s">
        <v>107</v>
      </c>
      <c r="E71" s="7" t="s">
        <v>178</v>
      </c>
    </row>
    <row r="72" spans="1:5" x14ac:dyDescent="0.3">
      <c r="B72" s="6" t="s">
        <v>139</v>
      </c>
      <c r="C72" s="6" t="s">
        <v>140</v>
      </c>
      <c r="D72" s="6" t="s">
        <v>107</v>
      </c>
      <c r="E72" s="16"/>
    </row>
    <row r="73" spans="1:5" x14ac:dyDescent="0.3">
      <c r="B73" s="6" t="s">
        <v>185</v>
      </c>
      <c r="C73" s="6" t="s">
        <v>186</v>
      </c>
      <c r="D73" s="6" t="s">
        <v>121</v>
      </c>
      <c r="E73" s="16"/>
    </row>
    <row r="74" spans="1:5" x14ac:dyDescent="0.3">
      <c r="B74" s="6" t="s">
        <v>5</v>
      </c>
      <c r="C74" s="6" t="s">
        <v>123</v>
      </c>
      <c r="D74" s="6" t="s">
        <v>121</v>
      </c>
      <c r="E74" s="16"/>
    </row>
    <row r="76" spans="1:5" ht="38.25" x14ac:dyDescent="0.3">
      <c r="A76" s="2" t="s">
        <v>187</v>
      </c>
    </row>
    <row r="77" spans="1:5" x14ac:dyDescent="0.3">
      <c r="B77" s="4" t="s">
        <v>65</v>
      </c>
      <c r="C77" s="4" t="s">
        <v>66</v>
      </c>
      <c r="D77" s="4" t="s">
        <v>67</v>
      </c>
      <c r="E77" s="4" t="s">
        <v>68</v>
      </c>
    </row>
    <row r="78" spans="1:5" x14ac:dyDescent="0.3">
      <c r="B78" s="6" t="s">
        <v>188</v>
      </c>
      <c r="C78" s="6" t="s">
        <v>189</v>
      </c>
      <c r="D78" s="6" t="s">
        <v>107</v>
      </c>
      <c r="E78" s="16"/>
    </row>
    <row r="79" spans="1:5" x14ac:dyDescent="0.3">
      <c r="B79" s="6" t="s">
        <v>190</v>
      </c>
      <c r="C79" s="6" t="s">
        <v>191</v>
      </c>
      <c r="D79" s="6" t="s">
        <v>121</v>
      </c>
      <c r="E79" s="16"/>
    </row>
    <row r="80" spans="1:5" x14ac:dyDescent="0.3">
      <c r="B80" s="6" t="s">
        <v>192</v>
      </c>
      <c r="C80" s="6" t="s">
        <v>193</v>
      </c>
      <c r="D80" s="6" t="s">
        <v>107</v>
      </c>
      <c r="E80" s="16"/>
    </row>
    <row r="81" spans="1:5" ht="33" x14ac:dyDescent="0.3">
      <c r="B81" s="12" t="s">
        <v>131</v>
      </c>
      <c r="C81" s="6" t="s">
        <v>132</v>
      </c>
      <c r="D81" s="6" t="s">
        <v>107</v>
      </c>
      <c r="E81" s="7" t="s">
        <v>133</v>
      </c>
    </row>
    <row r="82" spans="1:5" x14ac:dyDescent="0.3">
      <c r="B82" s="6" t="s">
        <v>134</v>
      </c>
      <c r="C82" s="6" t="s">
        <v>135</v>
      </c>
      <c r="D82" s="6" t="s">
        <v>107</v>
      </c>
      <c r="E82" s="16"/>
    </row>
    <row r="83" spans="1:5" ht="33" x14ac:dyDescent="0.3">
      <c r="B83" s="12" t="s">
        <v>136</v>
      </c>
      <c r="C83" s="6" t="s">
        <v>137</v>
      </c>
      <c r="D83" s="6" t="s">
        <v>107</v>
      </c>
      <c r="E83" s="7" t="s">
        <v>194</v>
      </c>
    </row>
    <row r="84" spans="1:5" x14ac:dyDescent="0.3">
      <c r="B84" s="6" t="s">
        <v>139</v>
      </c>
      <c r="C84" s="6" t="s">
        <v>140</v>
      </c>
      <c r="D84" s="6" t="s">
        <v>107</v>
      </c>
      <c r="E84" s="16"/>
    </row>
    <row r="85" spans="1:5" x14ac:dyDescent="0.3">
      <c r="B85" s="6" t="s">
        <v>195</v>
      </c>
      <c r="C85" s="6" t="s">
        <v>196</v>
      </c>
      <c r="D85" s="6" t="s">
        <v>121</v>
      </c>
      <c r="E85" s="16"/>
    </row>
    <row r="86" spans="1:5" x14ac:dyDescent="0.3">
      <c r="B86" s="6" t="s">
        <v>5</v>
      </c>
      <c r="C86" s="6" t="s">
        <v>123</v>
      </c>
      <c r="D86" s="6" t="s">
        <v>121</v>
      </c>
      <c r="E86" s="16"/>
    </row>
    <row r="87" spans="1:5" ht="17.25" customHeight="1" x14ac:dyDescent="0.3"/>
    <row r="88" spans="1:5" ht="38.25" x14ac:dyDescent="0.3">
      <c r="A88" s="2" t="s">
        <v>197</v>
      </c>
    </row>
    <row r="89" spans="1:5" x14ac:dyDescent="0.3">
      <c r="B89" s="4" t="s">
        <v>65</v>
      </c>
      <c r="C89" s="4" t="s">
        <v>66</v>
      </c>
      <c r="D89" s="4" t="s">
        <v>67</v>
      </c>
      <c r="E89" s="4" t="s">
        <v>68</v>
      </c>
    </row>
    <row r="90" spans="1:5" x14ac:dyDescent="0.3">
      <c r="B90" s="6" t="s">
        <v>198</v>
      </c>
      <c r="C90" s="6" t="s">
        <v>199</v>
      </c>
      <c r="D90" s="6" t="s">
        <v>107</v>
      </c>
      <c r="E90" s="16"/>
    </row>
    <row r="91" spans="1:5" x14ac:dyDescent="0.3">
      <c r="B91" s="6" t="s">
        <v>200</v>
      </c>
      <c r="C91" s="6" t="s">
        <v>201</v>
      </c>
      <c r="D91" s="6" t="s">
        <v>121</v>
      </c>
      <c r="E91" s="16"/>
    </row>
    <row r="92" spans="1:5" ht="33" x14ac:dyDescent="0.3">
      <c r="B92" s="12" t="s">
        <v>156</v>
      </c>
      <c r="C92" s="6" t="s">
        <v>157</v>
      </c>
      <c r="D92" s="6" t="s">
        <v>107</v>
      </c>
      <c r="E92" s="7" t="s">
        <v>133</v>
      </c>
    </row>
    <row r="93" spans="1:5" x14ac:dyDescent="0.3">
      <c r="B93" s="6" t="s">
        <v>202</v>
      </c>
      <c r="C93" s="6" t="s">
        <v>159</v>
      </c>
      <c r="D93" s="6" t="s">
        <v>107</v>
      </c>
      <c r="E93" s="16"/>
    </row>
    <row r="94" spans="1:5" ht="49.5" x14ac:dyDescent="0.3">
      <c r="B94" s="12" t="s">
        <v>160</v>
      </c>
      <c r="C94" s="6" t="s">
        <v>203</v>
      </c>
      <c r="D94" s="6" t="s">
        <v>107</v>
      </c>
      <c r="E94" s="16" t="s">
        <v>204</v>
      </c>
    </row>
    <row r="95" spans="1:5" ht="33" x14ac:dyDescent="0.3">
      <c r="B95" s="12" t="s">
        <v>205</v>
      </c>
      <c r="C95" s="6" t="s">
        <v>206</v>
      </c>
      <c r="D95" s="6" t="s">
        <v>107</v>
      </c>
      <c r="E95" s="16"/>
    </row>
    <row r="96" spans="1:5" x14ac:dyDescent="0.3">
      <c r="B96" s="6" t="s">
        <v>207</v>
      </c>
      <c r="C96" s="6" t="s">
        <v>208</v>
      </c>
      <c r="D96" s="6" t="s">
        <v>107</v>
      </c>
      <c r="E96" s="16"/>
    </row>
    <row r="97" spans="2:5" x14ac:dyDescent="0.3">
      <c r="B97" s="6" t="s">
        <v>209</v>
      </c>
      <c r="C97" s="6" t="s">
        <v>210</v>
      </c>
      <c r="D97" s="6" t="s">
        <v>121</v>
      </c>
      <c r="E97" s="16"/>
    </row>
    <row r="98" spans="2:5" x14ac:dyDescent="0.3">
      <c r="B98" s="6" t="s">
        <v>5</v>
      </c>
      <c r="C98" s="6" t="s">
        <v>123</v>
      </c>
      <c r="D98" s="6"/>
      <c r="E98" s="16"/>
    </row>
  </sheetData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6.5" x14ac:dyDescent="0.3"/>
  <cols>
    <col min="1" max="3" width="20.625" style="13" customWidth="1"/>
    <col min="4" max="16384" width="9" style="13"/>
  </cols>
  <sheetData>
    <row r="1" spans="1:3" x14ac:dyDescent="0.3">
      <c r="A1" s="4" t="s">
        <v>211</v>
      </c>
      <c r="B1" s="4" t="s">
        <v>148</v>
      </c>
      <c r="C1" s="4" t="s">
        <v>212</v>
      </c>
    </row>
    <row r="2" spans="1:3" x14ac:dyDescent="0.3">
      <c r="A2" s="4" t="s">
        <v>213</v>
      </c>
      <c r="B2" s="4" t="s">
        <v>214</v>
      </c>
      <c r="C2" s="4" t="s">
        <v>215</v>
      </c>
    </row>
    <row r="3" spans="1:3" ht="70.150000000000006" customHeight="1" x14ac:dyDescent="0.3">
      <c r="A3" s="12" t="s">
        <v>47</v>
      </c>
      <c r="B3" s="12">
        <v>1000</v>
      </c>
      <c r="C3" s="12">
        <v>1000</v>
      </c>
    </row>
    <row r="4" spans="1:3" ht="70.150000000000006" customHeight="1" x14ac:dyDescent="0.3">
      <c r="A4" s="12" t="s">
        <v>51</v>
      </c>
      <c r="B4" s="12">
        <v>5</v>
      </c>
      <c r="C4" s="12">
        <v>10</v>
      </c>
    </row>
    <row r="5" spans="1:3" ht="70.150000000000006" customHeight="1" x14ac:dyDescent="0.3">
      <c r="A5" s="12" t="s">
        <v>216</v>
      </c>
      <c r="B5" s="12">
        <v>5</v>
      </c>
      <c r="C5" s="12">
        <v>10</v>
      </c>
    </row>
    <row r="6" spans="1:3" ht="70.150000000000006" customHeight="1" x14ac:dyDescent="0.3">
      <c r="A6" s="12" t="s">
        <v>59</v>
      </c>
      <c r="B6" s="12">
        <v>5</v>
      </c>
      <c r="C6" s="12">
        <v>20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6.5" x14ac:dyDescent="0.3"/>
  <cols>
    <col min="1" max="4" width="20.625" style="13" customWidth="1"/>
    <col min="5" max="5" width="43" style="1" customWidth="1"/>
    <col min="6" max="16384" width="9" style="1"/>
  </cols>
  <sheetData>
    <row r="1" spans="1:5" x14ac:dyDescent="0.3">
      <c r="A1" s="4" t="s">
        <v>217</v>
      </c>
      <c r="B1" s="4" t="s">
        <v>211</v>
      </c>
      <c r="C1" s="4" t="s">
        <v>148</v>
      </c>
      <c r="D1" s="4" t="s">
        <v>218</v>
      </c>
      <c r="E1" s="4" t="s">
        <v>5</v>
      </c>
    </row>
    <row r="2" spans="1:5" x14ac:dyDescent="0.3">
      <c r="A2" s="4" t="s">
        <v>219</v>
      </c>
      <c r="B2" s="4" t="s">
        <v>213</v>
      </c>
      <c r="C2" s="4" t="s">
        <v>214</v>
      </c>
      <c r="D2" s="4" t="s">
        <v>220</v>
      </c>
      <c r="E2" s="4" t="s">
        <v>123</v>
      </c>
    </row>
    <row r="3" spans="1:5" ht="70.150000000000006" customHeight="1" x14ac:dyDescent="0.3">
      <c r="A3" s="12" t="s">
        <v>221</v>
      </c>
      <c r="B3" s="12" t="s">
        <v>47</v>
      </c>
      <c r="C3" s="12">
        <v>1000</v>
      </c>
      <c r="D3" s="6">
        <v>4</v>
      </c>
      <c r="E3" s="79" t="s">
        <v>222</v>
      </c>
    </row>
    <row r="4" spans="1:5" ht="70.150000000000006" customHeight="1" x14ac:dyDescent="0.3">
      <c r="A4" s="12" t="s">
        <v>223</v>
      </c>
      <c r="B4" s="12" t="s">
        <v>51</v>
      </c>
      <c r="C4" s="12">
        <v>1</v>
      </c>
      <c r="D4" s="6">
        <v>4</v>
      </c>
      <c r="E4" s="79" t="s">
        <v>224</v>
      </c>
    </row>
    <row r="5" spans="1:5" ht="70.150000000000006" customHeight="1" x14ac:dyDescent="0.3">
      <c r="A5" s="12" t="s">
        <v>225</v>
      </c>
      <c r="B5" s="12" t="s">
        <v>216</v>
      </c>
      <c r="C5" s="12">
        <v>1</v>
      </c>
      <c r="D5" s="6">
        <v>4</v>
      </c>
      <c r="E5" s="79" t="s">
        <v>224</v>
      </c>
    </row>
    <row r="6" spans="1:5" ht="70.150000000000006" customHeight="1" x14ac:dyDescent="0.3">
      <c r="A6" s="12" t="s">
        <v>226</v>
      </c>
      <c r="B6" s="12" t="s">
        <v>59</v>
      </c>
      <c r="C6" s="12">
        <v>1</v>
      </c>
      <c r="D6" s="6">
        <v>4</v>
      </c>
      <c r="E6" s="79" t="s">
        <v>224</v>
      </c>
    </row>
    <row r="7" spans="1:5" x14ac:dyDescent="0.3">
      <c r="A7" s="1"/>
      <c r="B7" s="1"/>
      <c r="C7" s="1"/>
      <c r="D7" s="1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workbookViewId="0"/>
  </sheetViews>
  <sheetFormatPr defaultRowHeight="16.5" x14ac:dyDescent="0.3"/>
  <cols>
    <col min="1" max="8" width="25.625" style="13" customWidth="1"/>
    <col min="9" max="9" width="45.375" style="1" customWidth="1"/>
    <col min="10" max="16384" width="9" style="48"/>
  </cols>
  <sheetData>
    <row r="1" spans="1:9" ht="33" x14ac:dyDescent="0.3">
      <c r="A1" s="19" t="s">
        <v>125</v>
      </c>
      <c r="B1" s="19" t="s">
        <v>227</v>
      </c>
      <c r="C1" s="4" t="s">
        <v>129</v>
      </c>
      <c r="D1" s="19" t="s">
        <v>131</v>
      </c>
      <c r="E1" s="4" t="s">
        <v>134</v>
      </c>
      <c r="F1" s="19" t="s">
        <v>136</v>
      </c>
      <c r="G1" s="4" t="s">
        <v>139</v>
      </c>
      <c r="H1" s="4" t="s">
        <v>141</v>
      </c>
      <c r="I1" s="4" t="s">
        <v>5</v>
      </c>
    </row>
    <row r="2" spans="1:9" x14ac:dyDescent="0.3">
      <c r="A2" s="4" t="s">
        <v>126</v>
      </c>
      <c r="B2" s="4" t="s">
        <v>128</v>
      </c>
      <c r="C2" s="4" t="s">
        <v>130</v>
      </c>
      <c r="D2" s="4" t="s">
        <v>132</v>
      </c>
      <c r="E2" s="4" t="s">
        <v>135</v>
      </c>
      <c r="F2" s="4" t="s">
        <v>137</v>
      </c>
      <c r="G2" s="4" t="s">
        <v>140</v>
      </c>
      <c r="H2" s="4" t="s">
        <v>142</v>
      </c>
      <c r="I2" s="4" t="s">
        <v>123</v>
      </c>
    </row>
    <row r="3" spans="1:9" x14ac:dyDescent="0.3">
      <c r="A3" s="25" t="s">
        <v>228</v>
      </c>
      <c r="B3" s="6">
        <v>2</v>
      </c>
      <c r="C3" s="6">
        <v>1</v>
      </c>
      <c r="D3" s="6"/>
      <c r="E3" s="6"/>
      <c r="F3" s="6"/>
      <c r="G3" s="6"/>
      <c r="H3" s="14" t="s">
        <v>77</v>
      </c>
      <c r="I3" s="15" t="s">
        <v>229</v>
      </c>
    </row>
    <row r="4" spans="1:9" x14ac:dyDescent="0.3">
      <c r="A4" s="12" t="s">
        <v>230</v>
      </c>
      <c r="B4" s="12">
        <v>1</v>
      </c>
      <c r="C4" s="12">
        <v>2</v>
      </c>
      <c r="D4" s="6">
        <v>0</v>
      </c>
      <c r="E4" s="52">
        <v>2500</v>
      </c>
      <c r="F4" s="52">
        <v>3</v>
      </c>
      <c r="G4" s="52">
        <v>5</v>
      </c>
      <c r="H4" s="39" t="s">
        <v>228</v>
      </c>
      <c r="I4" s="16"/>
    </row>
    <row r="5" spans="1:9" x14ac:dyDescent="0.3">
      <c r="A5" s="35" t="s">
        <v>231</v>
      </c>
      <c r="B5" s="35">
        <v>1</v>
      </c>
      <c r="C5" s="35">
        <v>3</v>
      </c>
      <c r="D5" s="33">
        <v>0</v>
      </c>
      <c r="E5" s="54">
        <v>3000</v>
      </c>
      <c r="F5" s="54">
        <v>3</v>
      </c>
      <c r="G5" s="54">
        <v>5</v>
      </c>
      <c r="H5" s="33" t="s">
        <v>230</v>
      </c>
      <c r="I5" s="36" t="s">
        <v>232</v>
      </c>
    </row>
    <row r="6" spans="1:9" x14ac:dyDescent="0.3">
      <c r="A6" s="40" t="s">
        <v>233</v>
      </c>
      <c r="B6" s="40">
        <v>2</v>
      </c>
      <c r="C6" s="40">
        <v>1</v>
      </c>
      <c r="D6" s="41"/>
      <c r="E6" s="60"/>
      <c r="F6" s="41"/>
      <c r="G6" s="41"/>
      <c r="H6" s="41" t="s">
        <v>77</v>
      </c>
      <c r="I6" s="72" t="s">
        <v>229</v>
      </c>
    </row>
    <row r="7" spans="1:9" x14ac:dyDescent="0.3">
      <c r="A7" s="22" t="s">
        <v>234</v>
      </c>
      <c r="B7" s="22">
        <v>1</v>
      </c>
      <c r="C7" s="22">
        <v>2</v>
      </c>
      <c r="D7" s="23">
        <v>0</v>
      </c>
      <c r="E7" s="61">
        <v>1500</v>
      </c>
      <c r="F7" s="23">
        <v>3</v>
      </c>
      <c r="G7" s="61">
        <v>3</v>
      </c>
      <c r="H7" s="23" t="s">
        <v>233</v>
      </c>
      <c r="I7" s="24"/>
    </row>
    <row r="8" spans="1:9" x14ac:dyDescent="0.3">
      <c r="A8" s="22" t="s">
        <v>235</v>
      </c>
      <c r="B8" s="22">
        <v>1</v>
      </c>
      <c r="C8" s="22">
        <v>3</v>
      </c>
      <c r="D8" s="23">
        <v>0</v>
      </c>
      <c r="E8" s="61">
        <v>1500</v>
      </c>
      <c r="F8" s="23">
        <v>3</v>
      </c>
      <c r="G8" s="61">
        <v>4</v>
      </c>
      <c r="H8" s="23" t="s">
        <v>234</v>
      </c>
      <c r="I8" s="24"/>
    </row>
    <row r="9" spans="1:9" x14ac:dyDescent="0.3">
      <c r="A9" s="22" t="s">
        <v>236</v>
      </c>
      <c r="B9" s="22">
        <v>1</v>
      </c>
      <c r="C9" s="22">
        <v>4</v>
      </c>
      <c r="D9" s="23">
        <v>0</v>
      </c>
      <c r="E9" s="61">
        <v>2000</v>
      </c>
      <c r="F9" s="23">
        <v>3</v>
      </c>
      <c r="G9" s="61">
        <v>4</v>
      </c>
      <c r="H9" s="23" t="s">
        <v>235</v>
      </c>
      <c r="I9" s="24"/>
    </row>
    <row r="10" spans="1:9" x14ac:dyDescent="0.3">
      <c r="A10" s="44" t="s">
        <v>237</v>
      </c>
      <c r="B10" s="44">
        <v>1</v>
      </c>
      <c r="C10" s="44">
        <v>5</v>
      </c>
      <c r="D10" s="45">
        <v>0</v>
      </c>
      <c r="E10" s="62">
        <v>2000</v>
      </c>
      <c r="F10" s="45">
        <v>3</v>
      </c>
      <c r="G10" s="62">
        <v>4</v>
      </c>
      <c r="H10" s="45" t="s">
        <v>236</v>
      </c>
      <c r="I10" s="46" t="s">
        <v>232</v>
      </c>
    </row>
    <row r="11" spans="1:9" x14ac:dyDescent="0.3">
      <c r="A11" s="28" t="s">
        <v>238</v>
      </c>
      <c r="B11" s="28">
        <v>0</v>
      </c>
      <c r="C11" s="28">
        <v>1</v>
      </c>
      <c r="D11" s="31">
        <v>0</v>
      </c>
      <c r="E11" s="43">
        <v>4000</v>
      </c>
      <c r="F11" s="31">
        <v>3</v>
      </c>
      <c r="G11" s="43">
        <v>20</v>
      </c>
      <c r="H11" s="31" t="s">
        <v>233</v>
      </c>
      <c r="I11" s="32"/>
    </row>
    <row r="12" spans="1:9" x14ac:dyDescent="0.3">
      <c r="A12" s="12" t="s">
        <v>239</v>
      </c>
      <c r="B12" s="12">
        <v>1</v>
      </c>
      <c r="C12" s="12">
        <v>2</v>
      </c>
      <c r="D12" s="6">
        <v>0</v>
      </c>
      <c r="E12" s="52">
        <v>3000</v>
      </c>
      <c r="F12" s="6">
        <v>3</v>
      </c>
      <c r="G12" s="52">
        <v>5</v>
      </c>
      <c r="H12" s="6" t="s">
        <v>238</v>
      </c>
      <c r="I12" s="16"/>
    </row>
    <row r="13" spans="1:9" x14ac:dyDescent="0.3">
      <c r="A13" s="12" t="s">
        <v>240</v>
      </c>
      <c r="B13" s="12">
        <v>1</v>
      </c>
      <c r="C13" s="12">
        <v>3</v>
      </c>
      <c r="D13" s="6">
        <v>0</v>
      </c>
      <c r="E13" s="52">
        <v>3500</v>
      </c>
      <c r="F13" s="6">
        <v>3</v>
      </c>
      <c r="G13" s="52">
        <v>8</v>
      </c>
      <c r="H13" s="6" t="s">
        <v>239</v>
      </c>
      <c r="I13" s="16"/>
    </row>
    <row r="14" spans="1:9" x14ac:dyDescent="0.3">
      <c r="A14" s="35" t="s">
        <v>241</v>
      </c>
      <c r="B14" s="35">
        <v>1</v>
      </c>
      <c r="C14" s="35">
        <v>4</v>
      </c>
      <c r="D14" s="33">
        <v>0</v>
      </c>
      <c r="E14" s="54">
        <v>4000</v>
      </c>
      <c r="F14" s="33">
        <v>3</v>
      </c>
      <c r="G14" s="54">
        <v>12</v>
      </c>
      <c r="H14" s="33" t="s">
        <v>240</v>
      </c>
      <c r="I14" s="36" t="s">
        <v>232</v>
      </c>
    </row>
    <row r="15" spans="1:9" x14ac:dyDescent="0.3">
      <c r="A15" s="41" t="s">
        <v>242</v>
      </c>
      <c r="B15" s="41">
        <v>0</v>
      </c>
      <c r="C15" s="40">
        <v>1</v>
      </c>
      <c r="D15" s="41">
        <v>0</v>
      </c>
      <c r="E15" s="60">
        <v>4000</v>
      </c>
      <c r="F15" s="41">
        <v>3</v>
      </c>
      <c r="G15" s="60">
        <v>20</v>
      </c>
      <c r="H15" s="49" t="s">
        <v>238</v>
      </c>
      <c r="I15" s="42"/>
    </row>
    <row r="16" spans="1:9" x14ac:dyDescent="0.3">
      <c r="A16" s="23" t="s">
        <v>243</v>
      </c>
      <c r="B16" s="23">
        <v>1</v>
      </c>
      <c r="C16" s="22">
        <v>2</v>
      </c>
      <c r="D16" s="23">
        <v>0</v>
      </c>
      <c r="E16" s="61">
        <v>3000</v>
      </c>
      <c r="F16" s="23">
        <v>3</v>
      </c>
      <c r="G16" s="61">
        <v>5</v>
      </c>
      <c r="H16" s="23" t="s">
        <v>242</v>
      </c>
      <c r="I16" s="24"/>
    </row>
    <row r="17" spans="1:9" x14ac:dyDescent="0.3">
      <c r="A17" s="23" t="s">
        <v>244</v>
      </c>
      <c r="B17" s="23">
        <v>1</v>
      </c>
      <c r="C17" s="22">
        <v>3</v>
      </c>
      <c r="D17" s="23">
        <v>0</v>
      </c>
      <c r="E17" s="61">
        <v>3500</v>
      </c>
      <c r="F17" s="23">
        <v>3</v>
      </c>
      <c r="G17" s="61">
        <v>8</v>
      </c>
      <c r="H17" s="23" t="s">
        <v>243</v>
      </c>
      <c r="I17" s="24"/>
    </row>
    <row r="18" spans="1:9" x14ac:dyDescent="0.3">
      <c r="A18" s="45" t="s">
        <v>245</v>
      </c>
      <c r="B18" s="45">
        <v>1</v>
      </c>
      <c r="C18" s="44">
        <v>4</v>
      </c>
      <c r="D18" s="45">
        <v>0</v>
      </c>
      <c r="E18" s="62">
        <v>4000</v>
      </c>
      <c r="F18" s="45">
        <v>3</v>
      </c>
      <c r="G18" s="62">
        <v>12</v>
      </c>
      <c r="H18" s="45" t="s">
        <v>244</v>
      </c>
      <c r="I18" s="46" t="s">
        <v>232</v>
      </c>
    </row>
    <row r="19" spans="1:9" x14ac:dyDescent="0.3">
      <c r="A19" s="31" t="s">
        <v>246</v>
      </c>
      <c r="B19" s="28">
        <v>0</v>
      </c>
      <c r="C19" s="28">
        <v>1</v>
      </c>
      <c r="D19" s="31">
        <v>0</v>
      </c>
      <c r="E19" s="53">
        <v>2500</v>
      </c>
      <c r="F19" s="31">
        <v>3</v>
      </c>
      <c r="G19" s="53">
        <v>5</v>
      </c>
      <c r="H19" s="47" t="s">
        <v>247</v>
      </c>
      <c r="I19" s="32"/>
    </row>
    <row r="20" spans="1:9" x14ac:dyDescent="0.3">
      <c r="A20" s="6" t="s">
        <v>248</v>
      </c>
      <c r="B20" s="12">
        <v>1</v>
      </c>
      <c r="C20" s="12">
        <v>2</v>
      </c>
      <c r="D20" s="6">
        <v>0</v>
      </c>
      <c r="E20" s="52">
        <v>2500</v>
      </c>
      <c r="F20" s="6">
        <v>3</v>
      </c>
      <c r="G20" s="52">
        <v>7</v>
      </c>
      <c r="H20" s="6" t="s">
        <v>246</v>
      </c>
      <c r="I20" s="16"/>
    </row>
    <row r="21" spans="1:9" x14ac:dyDescent="0.3">
      <c r="A21" s="33" t="s">
        <v>249</v>
      </c>
      <c r="B21" s="35">
        <v>1</v>
      </c>
      <c r="C21" s="35">
        <v>3</v>
      </c>
      <c r="D21" s="33">
        <v>0</v>
      </c>
      <c r="E21" s="54">
        <v>3000</v>
      </c>
      <c r="F21" s="33">
        <v>3</v>
      </c>
      <c r="G21" s="54">
        <v>8</v>
      </c>
      <c r="H21" s="33" t="s">
        <v>248</v>
      </c>
      <c r="I21" s="36" t="s">
        <v>232</v>
      </c>
    </row>
    <row r="22" spans="1:9" x14ac:dyDescent="0.3">
      <c r="A22" s="41" t="s">
        <v>247</v>
      </c>
      <c r="B22" s="40">
        <v>0</v>
      </c>
      <c r="C22" s="40">
        <v>1</v>
      </c>
      <c r="D22" s="41">
        <v>0</v>
      </c>
      <c r="E22" s="60">
        <v>2500</v>
      </c>
      <c r="F22" s="60">
        <v>3</v>
      </c>
      <c r="G22" s="60">
        <v>5</v>
      </c>
      <c r="H22" s="41" t="s">
        <v>250</v>
      </c>
      <c r="I22" s="42"/>
    </row>
    <row r="23" spans="1:9" x14ac:dyDescent="0.3">
      <c r="A23" s="23" t="s">
        <v>251</v>
      </c>
      <c r="B23" s="23">
        <v>1</v>
      </c>
      <c r="C23" s="22">
        <v>2</v>
      </c>
      <c r="D23" s="23">
        <v>0</v>
      </c>
      <c r="E23" s="61">
        <v>2000</v>
      </c>
      <c r="F23" s="61">
        <v>3</v>
      </c>
      <c r="G23" s="61">
        <v>7</v>
      </c>
      <c r="H23" s="23" t="s">
        <v>247</v>
      </c>
      <c r="I23" s="24"/>
    </row>
    <row r="24" spans="1:9" x14ac:dyDescent="0.3">
      <c r="A24" s="45" t="s">
        <v>252</v>
      </c>
      <c r="B24" s="44">
        <v>1</v>
      </c>
      <c r="C24" s="44">
        <v>3</v>
      </c>
      <c r="D24" s="45">
        <v>0</v>
      </c>
      <c r="E24" s="62">
        <v>2500</v>
      </c>
      <c r="F24" s="62">
        <v>3</v>
      </c>
      <c r="G24" s="62">
        <v>8</v>
      </c>
      <c r="H24" s="45" t="s">
        <v>251</v>
      </c>
      <c r="I24" s="46" t="s">
        <v>232</v>
      </c>
    </row>
    <row r="25" spans="1:9" x14ac:dyDescent="0.3">
      <c r="A25" s="29" t="s">
        <v>253</v>
      </c>
      <c r="B25" s="28">
        <v>2</v>
      </c>
      <c r="C25" s="28">
        <v>1</v>
      </c>
      <c r="D25" s="31"/>
      <c r="E25" s="53"/>
      <c r="F25" s="31"/>
      <c r="G25" s="53"/>
      <c r="H25" s="47" t="s">
        <v>77</v>
      </c>
      <c r="I25" s="71" t="s">
        <v>229</v>
      </c>
    </row>
    <row r="26" spans="1:9" x14ac:dyDescent="0.3">
      <c r="A26" s="29" t="s">
        <v>254</v>
      </c>
      <c r="B26" s="28">
        <v>1</v>
      </c>
      <c r="C26" s="28">
        <v>2</v>
      </c>
      <c r="D26" s="31">
        <v>0</v>
      </c>
      <c r="E26" s="53">
        <v>2000</v>
      </c>
      <c r="F26" s="31">
        <v>3</v>
      </c>
      <c r="G26" s="53">
        <v>7</v>
      </c>
      <c r="H26" s="47" t="s">
        <v>77</v>
      </c>
      <c r="I26" s="32"/>
    </row>
    <row r="27" spans="1:9" x14ac:dyDescent="0.3">
      <c r="A27" s="34" t="s">
        <v>255</v>
      </c>
      <c r="B27" s="35">
        <v>1</v>
      </c>
      <c r="C27" s="35">
        <v>3</v>
      </c>
      <c r="D27" s="33">
        <v>0</v>
      </c>
      <c r="E27" s="54">
        <v>2500</v>
      </c>
      <c r="F27" s="33">
        <v>3</v>
      </c>
      <c r="G27" s="54">
        <v>8</v>
      </c>
      <c r="H27" s="34" t="s">
        <v>254</v>
      </c>
      <c r="I27" s="36" t="s">
        <v>232</v>
      </c>
    </row>
    <row r="28" spans="1:9" x14ac:dyDescent="0.3">
      <c r="A28" s="48"/>
      <c r="B28" s="48"/>
      <c r="C28" s="48"/>
      <c r="D28" s="48"/>
      <c r="E28" s="48"/>
      <c r="F28" s="48"/>
      <c r="G28" s="48"/>
      <c r="H28" s="48"/>
      <c r="I28" s="48"/>
    </row>
    <row r="29" spans="1:9" x14ac:dyDescent="0.3">
      <c r="A29" s="77"/>
      <c r="B29" s="77"/>
      <c r="C29" s="77"/>
    </row>
    <row r="30" spans="1:9" x14ac:dyDescent="0.3">
      <c r="A30" s="77"/>
      <c r="B30" s="77"/>
      <c r="C30" s="77"/>
      <c r="I30" s="10"/>
    </row>
    <row r="31" spans="1:9" x14ac:dyDescent="0.3">
      <c r="A31" s="77"/>
      <c r="B31" s="77"/>
      <c r="C31" s="77"/>
    </row>
    <row r="32" spans="1:9" x14ac:dyDescent="0.3">
      <c r="A32" s="77"/>
      <c r="B32" s="77"/>
      <c r="C32" s="77"/>
    </row>
    <row r="33" spans="1:3" x14ac:dyDescent="0.3">
      <c r="A33" s="77"/>
      <c r="B33" s="77"/>
      <c r="C33" s="77"/>
    </row>
    <row r="34" spans="1:3" x14ac:dyDescent="0.3">
      <c r="C34" s="78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6.5" x14ac:dyDescent="0.3"/>
  <cols>
    <col min="1" max="5" width="25.625" style="13" customWidth="1"/>
    <col min="6" max="16384" width="9" style="1"/>
  </cols>
  <sheetData>
    <row r="1" spans="1:5" ht="33" x14ac:dyDescent="0.3">
      <c r="A1" s="4" t="s">
        <v>144</v>
      </c>
      <c r="B1" s="19" t="s">
        <v>146</v>
      </c>
      <c r="C1" s="4" t="s">
        <v>148</v>
      </c>
      <c r="D1" s="4" t="s">
        <v>150</v>
      </c>
      <c r="E1" s="4" t="s">
        <v>5</v>
      </c>
    </row>
    <row r="2" spans="1:5" x14ac:dyDescent="0.3">
      <c r="A2" s="4" t="s">
        <v>145</v>
      </c>
      <c r="B2" s="4" t="s">
        <v>147</v>
      </c>
      <c r="C2" s="4" t="s">
        <v>149</v>
      </c>
      <c r="D2" s="4" t="s">
        <v>151</v>
      </c>
      <c r="E2" s="4" t="s">
        <v>123</v>
      </c>
    </row>
    <row r="3" spans="1:5" x14ac:dyDescent="0.3">
      <c r="A3" s="12">
        <v>1</v>
      </c>
      <c r="B3" s="12">
        <v>0</v>
      </c>
      <c r="C3" s="12">
        <v>1000</v>
      </c>
      <c r="D3" s="6">
        <v>4</v>
      </c>
      <c r="E3" s="6" t="s">
        <v>256</v>
      </c>
    </row>
    <row r="4" spans="1:5" x14ac:dyDescent="0.3">
      <c r="A4" s="12">
        <v>2</v>
      </c>
      <c r="B4" s="12">
        <v>0</v>
      </c>
      <c r="C4" s="12">
        <f>C3+500</f>
        <v>1500</v>
      </c>
      <c r="D4" s="6">
        <v>4</v>
      </c>
      <c r="E4" s="6" t="s">
        <v>257</v>
      </c>
    </row>
    <row r="5" spans="1:5" x14ac:dyDescent="0.3">
      <c r="A5" s="12">
        <v>3</v>
      </c>
      <c r="B5" s="12">
        <v>0</v>
      </c>
      <c r="C5" s="12">
        <f>C4+500</f>
        <v>2000</v>
      </c>
      <c r="D5" s="6">
        <v>4</v>
      </c>
      <c r="E5" s="6"/>
    </row>
    <row r="6" spans="1:5" x14ac:dyDescent="0.3">
      <c r="A6" s="1"/>
      <c r="B6" s="1"/>
      <c r="C6" s="1"/>
      <c r="D6" s="1"/>
      <c r="E6" s="1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6.5" x14ac:dyDescent="0.3"/>
  <cols>
    <col min="1" max="7" width="25.625" style="13" customWidth="1"/>
    <col min="8" max="8" width="40.625" style="1" customWidth="1"/>
    <col min="9" max="16384" width="9" style="1"/>
  </cols>
  <sheetData>
    <row r="1" spans="1:8" ht="66" x14ac:dyDescent="0.3">
      <c r="A1" s="4" t="s">
        <v>154</v>
      </c>
      <c r="B1" s="19" t="s">
        <v>156</v>
      </c>
      <c r="C1" s="4" t="s">
        <v>158</v>
      </c>
      <c r="D1" s="19" t="s">
        <v>160</v>
      </c>
      <c r="E1" s="4" t="s">
        <v>163</v>
      </c>
      <c r="F1" s="4" t="s">
        <v>165</v>
      </c>
      <c r="G1" s="4" t="s">
        <v>167</v>
      </c>
      <c r="H1" s="4" t="s">
        <v>5</v>
      </c>
    </row>
    <row r="2" spans="1:8" x14ac:dyDescent="0.3">
      <c r="A2" s="4" t="s">
        <v>155</v>
      </c>
      <c r="B2" s="4" t="s">
        <v>157</v>
      </c>
      <c r="C2" s="4" t="s">
        <v>159</v>
      </c>
      <c r="D2" s="4" t="s">
        <v>203</v>
      </c>
      <c r="E2" s="4" t="s">
        <v>164</v>
      </c>
      <c r="F2" s="4" t="s">
        <v>166</v>
      </c>
      <c r="G2" s="4" t="s">
        <v>168</v>
      </c>
      <c r="H2" s="4" t="s">
        <v>123</v>
      </c>
    </row>
    <row r="3" spans="1:8" ht="24.75" customHeight="1" x14ac:dyDescent="0.3">
      <c r="A3" s="12">
        <v>1</v>
      </c>
      <c r="B3" s="12">
        <v>0</v>
      </c>
      <c r="C3" s="12">
        <v>100</v>
      </c>
      <c r="D3" s="12">
        <v>0</v>
      </c>
      <c r="E3" s="6">
        <v>1</v>
      </c>
      <c r="F3" s="6">
        <v>40</v>
      </c>
      <c r="G3" s="6">
        <v>4</v>
      </c>
      <c r="H3" s="16" t="s">
        <v>258</v>
      </c>
    </row>
    <row r="4" spans="1:8" ht="24.75" customHeight="1" x14ac:dyDescent="0.3">
      <c r="A4" s="12">
        <v>2</v>
      </c>
      <c r="B4" s="12">
        <v>0</v>
      </c>
      <c r="C4" s="12">
        <v>90</v>
      </c>
      <c r="D4" s="12">
        <v>0</v>
      </c>
      <c r="E4" s="6">
        <v>1</v>
      </c>
      <c r="F4" s="6">
        <v>50</v>
      </c>
      <c r="G4" s="6">
        <v>4</v>
      </c>
      <c r="H4" s="16"/>
    </row>
    <row r="5" spans="1:8" ht="24.75" customHeight="1" x14ac:dyDescent="0.3">
      <c r="A5" s="12">
        <v>3</v>
      </c>
      <c r="B5" s="12">
        <v>0</v>
      </c>
      <c r="C5" s="12">
        <v>80</v>
      </c>
      <c r="D5" s="12">
        <v>0</v>
      </c>
      <c r="E5" s="6">
        <v>1</v>
      </c>
      <c r="F5" s="6">
        <v>60</v>
      </c>
      <c r="G5" s="6">
        <v>4</v>
      </c>
      <c r="H5" s="16"/>
    </row>
    <row r="6" spans="1:8" ht="24.75" customHeight="1" x14ac:dyDescent="0.3">
      <c r="A6" s="12">
        <v>4</v>
      </c>
      <c r="B6" s="12">
        <v>0</v>
      </c>
      <c r="C6" s="12">
        <v>70</v>
      </c>
      <c r="D6" s="12">
        <v>0</v>
      </c>
      <c r="E6" s="6">
        <v>1</v>
      </c>
      <c r="F6" s="6">
        <v>70</v>
      </c>
      <c r="G6" s="6">
        <v>4</v>
      </c>
      <c r="H6" s="16"/>
    </row>
    <row r="7" spans="1:8" ht="24.75" customHeight="1" x14ac:dyDescent="0.3">
      <c r="A7" s="12">
        <v>5</v>
      </c>
      <c r="B7" s="12">
        <v>0</v>
      </c>
      <c r="C7" s="12">
        <v>60</v>
      </c>
      <c r="D7" s="12">
        <v>0</v>
      </c>
      <c r="E7" s="6">
        <v>1</v>
      </c>
      <c r="F7" s="6">
        <v>80</v>
      </c>
      <c r="G7" s="6">
        <v>4</v>
      </c>
      <c r="H7" s="16"/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/>
  </sheetViews>
  <sheetFormatPr defaultRowHeight="16.5" x14ac:dyDescent="0.3"/>
  <cols>
    <col min="1" max="1" width="25.625" style="13" customWidth="1"/>
    <col min="2" max="2" width="30.625" style="13" customWidth="1"/>
    <col min="3" max="3" width="40.625" style="13" customWidth="1"/>
    <col min="4" max="7" width="20.625" style="13" customWidth="1"/>
    <col min="8" max="8" width="45.375" style="1" customWidth="1"/>
    <col min="9" max="16384" width="9" style="1"/>
  </cols>
  <sheetData>
    <row r="1" spans="1:8" ht="49.5" x14ac:dyDescent="0.3">
      <c r="A1" s="4" t="s">
        <v>171</v>
      </c>
      <c r="B1" s="4" t="s">
        <v>173</v>
      </c>
      <c r="C1" s="4" t="s">
        <v>175</v>
      </c>
      <c r="D1" s="19" t="s">
        <v>259</v>
      </c>
      <c r="E1" s="4" t="s">
        <v>134</v>
      </c>
      <c r="F1" s="19" t="s">
        <v>260</v>
      </c>
      <c r="G1" s="4" t="s">
        <v>139</v>
      </c>
      <c r="H1" s="4" t="s">
        <v>5</v>
      </c>
    </row>
    <row r="2" spans="1:8" x14ac:dyDescent="0.3">
      <c r="A2" s="4" t="s">
        <v>172</v>
      </c>
      <c r="B2" s="4" t="s">
        <v>174</v>
      </c>
      <c r="C2" s="4" t="s">
        <v>176</v>
      </c>
      <c r="D2" s="4" t="s">
        <v>132</v>
      </c>
      <c r="E2" s="4" t="s">
        <v>135</v>
      </c>
      <c r="F2" s="4" t="s">
        <v>137</v>
      </c>
      <c r="G2" s="4" t="s">
        <v>140</v>
      </c>
      <c r="H2" s="4" t="s">
        <v>123</v>
      </c>
    </row>
    <row r="3" spans="1:8" ht="23.25" customHeight="1" x14ac:dyDescent="0.3">
      <c r="A3" s="12">
        <v>1</v>
      </c>
      <c r="B3" s="25" t="s">
        <v>261</v>
      </c>
      <c r="C3" s="26" t="s">
        <v>262</v>
      </c>
      <c r="D3" s="6">
        <v>0</v>
      </c>
      <c r="E3" s="52">
        <v>1000</v>
      </c>
      <c r="F3" s="52">
        <v>2</v>
      </c>
      <c r="G3" s="52">
        <v>15</v>
      </c>
      <c r="H3" s="16" t="s">
        <v>263</v>
      </c>
    </row>
    <row r="4" spans="1:8" ht="23.25" customHeight="1" x14ac:dyDescent="0.3">
      <c r="A4" s="6">
        <v>1</v>
      </c>
      <c r="B4" s="25" t="s">
        <v>264</v>
      </c>
      <c r="C4" s="14" t="s">
        <v>265</v>
      </c>
      <c r="D4" s="6">
        <v>0</v>
      </c>
      <c r="E4" s="52">
        <v>1000</v>
      </c>
      <c r="F4" s="52">
        <v>2</v>
      </c>
      <c r="G4" s="52">
        <v>15</v>
      </c>
      <c r="H4" s="16"/>
    </row>
    <row r="5" spans="1:8" ht="23.25" customHeight="1" x14ac:dyDescent="0.3">
      <c r="A5" s="6">
        <v>1</v>
      </c>
      <c r="B5" s="14" t="s">
        <v>266</v>
      </c>
      <c r="C5" s="14" t="s">
        <v>267</v>
      </c>
      <c r="D5" s="6">
        <v>0</v>
      </c>
      <c r="E5" s="52">
        <v>1000</v>
      </c>
      <c r="F5" s="52">
        <v>2</v>
      </c>
      <c r="G5" s="52">
        <v>15</v>
      </c>
      <c r="H5" s="16"/>
    </row>
    <row r="6" spans="1:8" ht="23.25" customHeight="1" x14ac:dyDescent="0.3">
      <c r="A6" s="6">
        <v>1</v>
      </c>
      <c r="B6" s="14" t="s">
        <v>268</v>
      </c>
      <c r="C6" s="14" t="s">
        <v>269</v>
      </c>
      <c r="D6" s="6">
        <v>0</v>
      </c>
      <c r="E6" s="52">
        <v>1000</v>
      </c>
      <c r="F6" s="52">
        <v>2</v>
      </c>
      <c r="G6" s="52">
        <v>15</v>
      </c>
      <c r="H6" s="16"/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/>
  </sheetViews>
  <sheetFormatPr defaultRowHeight="16.5" x14ac:dyDescent="0.3"/>
  <cols>
    <col min="1" max="1" width="25.625" style="13" customWidth="1"/>
    <col min="2" max="2" width="30.625" style="13" customWidth="1"/>
    <col min="3" max="3" width="40.625" style="13" customWidth="1"/>
    <col min="4" max="8" width="20.625" style="13" customWidth="1"/>
    <col min="9" max="9" width="25.625" style="13" customWidth="1"/>
    <col min="10" max="10" width="45.375" style="1" customWidth="1"/>
    <col min="11" max="16384" width="9" style="1"/>
  </cols>
  <sheetData>
    <row r="1" spans="1:10" ht="49.5" x14ac:dyDescent="0.3">
      <c r="A1" s="4" t="s">
        <v>171</v>
      </c>
      <c r="B1" s="4" t="s">
        <v>180</v>
      </c>
      <c r="C1" s="4" t="s">
        <v>182</v>
      </c>
      <c r="D1" s="4" t="s">
        <v>183</v>
      </c>
      <c r="E1" s="19" t="s">
        <v>259</v>
      </c>
      <c r="F1" s="4" t="s">
        <v>134</v>
      </c>
      <c r="G1" s="19" t="s">
        <v>260</v>
      </c>
      <c r="H1" s="4" t="s">
        <v>139</v>
      </c>
      <c r="I1" s="4" t="s">
        <v>185</v>
      </c>
      <c r="J1" s="4" t="s">
        <v>5</v>
      </c>
    </row>
    <row r="2" spans="1:10" x14ac:dyDescent="0.3">
      <c r="A2" s="4" t="s">
        <v>172</v>
      </c>
      <c r="B2" s="4" t="s">
        <v>181</v>
      </c>
      <c r="C2" s="4" t="s">
        <v>176</v>
      </c>
      <c r="D2" s="4" t="s">
        <v>184</v>
      </c>
      <c r="E2" s="4" t="s">
        <v>132</v>
      </c>
      <c r="F2" s="4" t="s">
        <v>135</v>
      </c>
      <c r="G2" s="4" t="s">
        <v>137</v>
      </c>
      <c r="H2" s="4" t="s">
        <v>140</v>
      </c>
      <c r="I2" s="4" t="s">
        <v>186</v>
      </c>
      <c r="J2" s="4" t="s">
        <v>123</v>
      </c>
    </row>
    <row r="3" spans="1:10" x14ac:dyDescent="0.3">
      <c r="A3" s="12">
        <v>1</v>
      </c>
      <c r="B3" s="25" t="s">
        <v>270</v>
      </c>
      <c r="C3" s="25" t="s">
        <v>271</v>
      </c>
      <c r="D3" s="12">
        <v>2</v>
      </c>
      <c r="E3" s="6">
        <v>0</v>
      </c>
      <c r="F3" s="52">
        <v>1000</v>
      </c>
      <c r="G3" s="52">
        <v>2</v>
      </c>
      <c r="H3" s="53">
        <v>5</v>
      </c>
      <c r="I3" s="6" t="s">
        <v>77</v>
      </c>
      <c r="J3" s="16" t="s">
        <v>263</v>
      </c>
    </row>
    <row r="4" spans="1:10" x14ac:dyDescent="0.3">
      <c r="A4" s="12">
        <v>2</v>
      </c>
      <c r="B4" s="25" t="s">
        <v>270</v>
      </c>
      <c r="C4" s="25" t="s">
        <v>271</v>
      </c>
      <c r="D4" s="12">
        <v>3</v>
      </c>
      <c r="E4" s="6">
        <v>0</v>
      </c>
      <c r="F4" s="52">
        <v>1500</v>
      </c>
      <c r="G4" s="52">
        <v>2</v>
      </c>
      <c r="H4" s="52">
        <v>10</v>
      </c>
      <c r="I4" s="6" t="s">
        <v>272</v>
      </c>
      <c r="J4" s="16"/>
    </row>
    <row r="5" spans="1:10" x14ac:dyDescent="0.3">
      <c r="A5" s="6">
        <v>3</v>
      </c>
      <c r="B5" s="25" t="s">
        <v>270</v>
      </c>
      <c r="C5" s="25" t="s">
        <v>271</v>
      </c>
      <c r="D5" s="12">
        <v>4</v>
      </c>
      <c r="E5" s="6">
        <v>0</v>
      </c>
      <c r="F5" s="52">
        <v>2000</v>
      </c>
      <c r="G5" s="52">
        <v>2</v>
      </c>
      <c r="H5" s="52">
        <v>15</v>
      </c>
      <c r="I5" s="6" t="s">
        <v>273</v>
      </c>
      <c r="J5" s="16"/>
    </row>
    <row r="6" spans="1:10" x14ac:dyDescent="0.3">
      <c r="A6" s="33">
        <v>4</v>
      </c>
      <c r="B6" s="34" t="s">
        <v>270</v>
      </c>
      <c r="C6" s="34" t="s">
        <v>271</v>
      </c>
      <c r="D6" s="35">
        <v>5</v>
      </c>
      <c r="E6" s="33">
        <v>0</v>
      </c>
      <c r="F6" s="54">
        <v>2500</v>
      </c>
      <c r="G6" s="54">
        <v>2</v>
      </c>
      <c r="H6" s="54">
        <v>20</v>
      </c>
      <c r="I6" s="33" t="s">
        <v>274</v>
      </c>
      <c r="J6" s="36"/>
    </row>
    <row r="7" spans="1:10" x14ac:dyDescent="0.3">
      <c r="A7" s="12">
        <v>1</v>
      </c>
      <c r="B7" s="29" t="s">
        <v>261</v>
      </c>
      <c r="C7" s="30" t="s">
        <v>262</v>
      </c>
      <c r="D7" s="28">
        <v>2</v>
      </c>
      <c r="E7" s="31">
        <v>0</v>
      </c>
      <c r="F7" s="52">
        <v>1000</v>
      </c>
      <c r="G7" s="53">
        <v>2</v>
      </c>
      <c r="H7" s="53">
        <v>5</v>
      </c>
      <c r="I7" s="31" t="s">
        <v>77</v>
      </c>
      <c r="J7" s="32"/>
    </row>
    <row r="8" spans="1:10" x14ac:dyDescent="0.3">
      <c r="A8" s="12">
        <v>2</v>
      </c>
      <c r="B8" s="25" t="s">
        <v>261</v>
      </c>
      <c r="C8" s="26" t="s">
        <v>262</v>
      </c>
      <c r="D8" s="12">
        <v>3</v>
      </c>
      <c r="E8" s="6">
        <v>0</v>
      </c>
      <c r="F8" s="52">
        <v>1500</v>
      </c>
      <c r="G8" s="52">
        <v>2</v>
      </c>
      <c r="H8" s="52">
        <v>10</v>
      </c>
      <c r="I8" s="6" t="s">
        <v>272</v>
      </c>
      <c r="J8" s="16"/>
    </row>
    <row r="9" spans="1:10" x14ac:dyDescent="0.3">
      <c r="A9" s="6">
        <v>3</v>
      </c>
      <c r="B9" s="25" t="s">
        <v>261</v>
      </c>
      <c r="C9" s="26" t="s">
        <v>262</v>
      </c>
      <c r="D9" s="12">
        <v>4</v>
      </c>
      <c r="E9" s="6">
        <v>0</v>
      </c>
      <c r="F9" s="52">
        <v>2000</v>
      </c>
      <c r="G9" s="52">
        <v>2</v>
      </c>
      <c r="H9" s="52">
        <v>15</v>
      </c>
      <c r="I9" s="6" t="s">
        <v>273</v>
      </c>
      <c r="J9" s="16"/>
    </row>
    <row r="10" spans="1:10" x14ac:dyDescent="0.3">
      <c r="A10" s="33">
        <v>4</v>
      </c>
      <c r="B10" s="34" t="s">
        <v>261</v>
      </c>
      <c r="C10" s="38" t="s">
        <v>262</v>
      </c>
      <c r="D10" s="35">
        <v>5</v>
      </c>
      <c r="E10" s="33">
        <v>0</v>
      </c>
      <c r="F10" s="54">
        <v>2500</v>
      </c>
      <c r="G10" s="54">
        <v>2</v>
      </c>
      <c r="H10" s="54">
        <v>20</v>
      </c>
      <c r="I10" s="33" t="s">
        <v>274</v>
      </c>
      <c r="J10" s="36"/>
    </row>
    <row r="11" spans="1:10" x14ac:dyDescent="0.3">
      <c r="A11" s="12">
        <v>1</v>
      </c>
      <c r="B11" s="25" t="s">
        <v>264</v>
      </c>
      <c r="C11" s="14" t="s">
        <v>265</v>
      </c>
      <c r="D11" s="37">
        <v>2</v>
      </c>
      <c r="E11" s="31">
        <v>0</v>
      </c>
      <c r="F11" s="52">
        <v>1000</v>
      </c>
      <c r="G11" s="53">
        <v>2</v>
      </c>
      <c r="H11" s="53">
        <v>5</v>
      </c>
      <c r="I11" s="31" t="s">
        <v>77</v>
      </c>
      <c r="J11" s="32"/>
    </row>
    <row r="12" spans="1:10" x14ac:dyDescent="0.3">
      <c r="A12" s="12">
        <v>2</v>
      </c>
      <c r="B12" s="25" t="s">
        <v>264</v>
      </c>
      <c r="C12" s="14" t="s">
        <v>265</v>
      </c>
      <c r="D12" s="20">
        <v>3</v>
      </c>
      <c r="E12" s="6">
        <v>0</v>
      </c>
      <c r="F12" s="52">
        <v>1500</v>
      </c>
      <c r="G12" s="52">
        <v>2</v>
      </c>
      <c r="H12" s="52">
        <v>10</v>
      </c>
      <c r="I12" s="6" t="s">
        <v>272</v>
      </c>
      <c r="J12" s="16"/>
    </row>
    <row r="13" spans="1:10" x14ac:dyDescent="0.3">
      <c r="A13" s="6">
        <v>3</v>
      </c>
      <c r="B13" s="25" t="s">
        <v>264</v>
      </c>
      <c r="C13" s="14" t="s">
        <v>265</v>
      </c>
      <c r="D13" s="20">
        <v>4</v>
      </c>
      <c r="E13" s="6">
        <v>0</v>
      </c>
      <c r="F13" s="52">
        <v>2000</v>
      </c>
      <c r="G13" s="52">
        <v>2</v>
      </c>
      <c r="H13" s="52">
        <v>15</v>
      </c>
      <c r="I13" s="6" t="s">
        <v>273</v>
      </c>
      <c r="J13" s="16"/>
    </row>
    <row r="14" spans="1:10" x14ac:dyDescent="0.3">
      <c r="A14" s="33">
        <v>4</v>
      </c>
      <c r="B14" s="34" t="s">
        <v>264</v>
      </c>
      <c r="C14" s="39" t="s">
        <v>265</v>
      </c>
      <c r="D14" s="33">
        <v>5</v>
      </c>
      <c r="E14" s="33">
        <v>0</v>
      </c>
      <c r="F14" s="54">
        <v>2500</v>
      </c>
      <c r="G14" s="54">
        <v>2</v>
      </c>
      <c r="H14" s="54">
        <v>20</v>
      </c>
      <c r="I14" s="33" t="s">
        <v>274</v>
      </c>
      <c r="J14" s="36"/>
    </row>
    <row r="15" spans="1:10" x14ac:dyDescent="0.3">
      <c r="A15" s="12">
        <v>1</v>
      </c>
      <c r="B15" s="14" t="s">
        <v>266</v>
      </c>
      <c r="C15" s="14" t="s">
        <v>267</v>
      </c>
      <c r="D15" s="37">
        <v>2</v>
      </c>
      <c r="E15" s="31">
        <v>0</v>
      </c>
      <c r="F15" s="52">
        <v>1000</v>
      </c>
      <c r="G15" s="53">
        <v>2</v>
      </c>
      <c r="H15" s="53">
        <v>5</v>
      </c>
      <c r="I15" s="31" t="s">
        <v>77</v>
      </c>
      <c r="J15" s="32"/>
    </row>
    <row r="16" spans="1:10" x14ac:dyDescent="0.3">
      <c r="A16" s="12">
        <v>2</v>
      </c>
      <c r="B16" s="14" t="s">
        <v>266</v>
      </c>
      <c r="C16" s="14" t="s">
        <v>267</v>
      </c>
      <c r="D16" s="20">
        <v>3</v>
      </c>
      <c r="E16" s="6">
        <v>0</v>
      </c>
      <c r="F16" s="52">
        <v>1500</v>
      </c>
      <c r="G16" s="52">
        <v>2</v>
      </c>
      <c r="H16" s="52">
        <v>10</v>
      </c>
      <c r="I16" s="6" t="s">
        <v>272</v>
      </c>
      <c r="J16" s="16"/>
    </row>
    <row r="17" spans="1:10" x14ac:dyDescent="0.3">
      <c r="A17" s="6">
        <v>3</v>
      </c>
      <c r="B17" s="14" t="s">
        <v>266</v>
      </c>
      <c r="C17" s="14" t="s">
        <v>267</v>
      </c>
      <c r="D17" s="20">
        <v>4</v>
      </c>
      <c r="E17" s="6">
        <v>0</v>
      </c>
      <c r="F17" s="52">
        <v>2000</v>
      </c>
      <c r="G17" s="52">
        <v>2</v>
      </c>
      <c r="H17" s="52">
        <v>15</v>
      </c>
      <c r="I17" s="6" t="s">
        <v>273</v>
      </c>
      <c r="J17" s="16"/>
    </row>
    <row r="18" spans="1:10" x14ac:dyDescent="0.3">
      <c r="A18" s="33">
        <v>4</v>
      </c>
      <c r="B18" s="39" t="s">
        <v>266</v>
      </c>
      <c r="C18" s="39" t="s">
        <v>267</v>
      </c>
      <c r="D18" s="33">
        <v>5</v>
      </c>
      <c r="E18" s="33">
        <v>0</v>
      </c>
      <c r="F18" s="54">
        <v>2500</v>
      </c>
      <c r="G18" s="54">
        <v>2</v>
      </c>
      <c r="H18" s="54">
        <v>20</v>
      </c>
      <c r="I18" s="33" t="s">
        <v>274</v>
      </c>
      <c r="J18" s="36"/>
    </row>
    <row r="19" spans="1:10" x14ac:dyDescent="0.3">
      <c r="A19" s="12">
        <v>1</v>
      </c>
      <c r="B19" s="14" t="s">
        <v>268</v>
      </c>
      <c r="C19" s="14" t="s">
        <v>269</v>
      </c>
      <c r="D19" s="37">
        <v>2</v>
      </c>
      <c r="E19" s="31">
        <v>0</v>
      </c>
      <c r="F19" s="52">
        <v>1000</v>
      </c>
      <c r="G19" s="53">
        <v>2</v>
      </c>
      <c r="H19" s="53">
        <v>5</v>
      </c>
      <c r="I19" s="31" t="s">
        <v>77</v>
      </c>
      <c r="J19" s="32"/>
    </row>
    <row r="20" spans="1:10" x14ac:dyDescent="0.3">
      <c r="A20" s="12">
        <v>2</v>
      </c>
      <c r="B20" s="14" t="s">
        <v>268</v>
      </c>
      <c r="C20" s="14" t="s">
        <v>269</v>
      </c>
      <c r="D20" s="20">
        <v>3</v>
      </c>
      <c r="E20" s="6">
        <v>0</v>
      </c>
      <c r="F20" s="52">
        <v>1500</v>
      </c>
      <c r="G20" s="52">
        <v>2</v>
      </c>
      <c r="H20" s="52">
        <v>10</v>
      </c>
      <c r="I20" s="6" t="s">
        <v>272</v>
      </c>
      <c r="J20" s="16"/>
    </row>
    <row r="21" spans="1:10" x14ac:dyDescent="0.3">
      <c r="A21" s="6">
        <v>3</v>
      </c>
      <c r="B21" s="14" t="s">
        <v>268</v>
      </c>
      <c r="C21" s="14" t="s">
        <v>269</v>
      </c>
      <c r="D21" s="20">
        <v>4</v>
      </c>
      <c r="E21" s="6">
        <v>0</v>
      </c>
      <c r="F21" s="52">
        <v>2000</v>
      </c>
      <c r="G21" s="52">
        <v>2</v>
      </c>
      <c r="H21" s="52">
        <v>15</v>
      </c>
      <c r="I21" s="6" t="s">
        <v>273</v>
      </c>
      <c r="J21" s="16"/>
    </row>
    <row r="22" spans="1:10" x14ac:dyDescent="0.3">
      <c r="A22" s="33">
        <v>4</v>
      </c>
      <c r="B22" s="39" t="s">
        <v>268</v>
      </c>
      <c r="C22" s="39" t="s">
        <v>269</v>
      </c>
      <c r="D22" s="33">
        <v>5</v>
      </c>
      <c r="E22" s="33">
        <v>0</v>
      </c>
      <c r="F22" s="54">
        <v>2500</v>
      </c>
      <c r="G22" s="54">
        <v>2</v>
      </c>
      <c r="H22" s="54">
        <v>20</v>
      </c>
      <c r="I22" s="33" t="s">
        <v>274</v>
      </c>
      <c r="J22" s="36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6.5" x14ac:dyDescent="0.3"/>
  <cols>
    <col min="1" max="1" width="20.625" style="13" customWidth="1"/>
    <col min="2" max="2" width="30.625" style="13" customWidth="1"/>
    <col min="3" max="7" width="20.625" style="13" customWidth="1"/>
    <col min="8" max="8" width="25.625" style="13" customWidth="1"/>
    <col min="9" max="9" width="45.375" style="1" customWidth="1"/>
    <col min="10" max="16384" width="9" style="1"/>
  </cols>
  <sheetData>
    <row r="1" spans="1:9" ht="49.5" x14ac:dyDescent="0.3">
      <c r="A1" s="4" t="s">
        <v>188</v>
      </c>
      <c r="B1" s="4" t="s">
        <v>190</v>
      </c>
      <c r="C1" s="4" t="s">
        <v>192</v>
      </c>
      <c r="D1" s="19" t="s">
        <v>259</v>
      </c>
      <c r="E1" s="4" t="s">
        <v>134</v>
      </c>
      <c r="F1" s="19" t="s">
        <v>260</v>
      </c>
      <c r="G1" s="4" t="s">
        <v>139</v>
      </c>
      <c r="H1" s="4" t="s">
        <v>195</v>
      </c>
      <c r="I1" s="4" t="s">
        <v>5</v>
      </c>
    </row>
    <row r="2" spans="1:9" x14ac:dyDescent="0.3">
      <c r="A2" s="4" t="s">
        <v>189</v>
      </c>
      <c r="B2" s="4" t="s">
        <v>191</v>
      </c>
      <c r="C2" s="4" t="s">
        <v>193</v>
      </c>
      <c r="D2" s="4" t="s">
        <v>132</v>
      </c>
      <c r="E2" s="4" t="s">
        <v>135</v>
      </c>
      <c r="F2" s="4" t="s">
        <v>137</v>
      </c>
      <c r="G2" s="4" t="s">
        <v>140</v>
      </c>
      <c r="H2" s="4" t="s">
        <v>196</v>
      </c>
      <c r="I2" s="4" t="s">
        <v>123</v>
      </c>
    </row>
    <row r="3" spans="1:9" x14ac:dyDescent="0.3">
      <c r="A3" s="12">
        <v>1</v>
      </c>
      <c r="B3" s="12" t="s">
        <v>275</v>
      </c>
      <c r="C3" s="12">
        <v>2</v>
      </c>
      <c r="D3" s="6">
        <v>0</v>
      </c>
      <c r="E3" s="52">
        <v>1000</v>
      </c>
      <c r="F3" s="52">
        <v>1</v>
      </c>
      <c r="G3" s="52">
        <v>2</v>
      </c>
      <c r="H3" s="6" t="s">
        <v>77</v>
      </c>
      <c r="I3" s="16" t="s">
        <v>276</v>
      </c>
    </row>
    <row r="4" spans="1:9" x14ac:dyDescent="0.3">
      <c r="A4" s="12">
        <v>2</v>
      </c>
      <c r="B4" s="12" t="s">
        <v>275</v>
      </c>
      <c r="C4" s="12">
        <v>3</v>
      </c>
      <c r="D4" s="6">
        <v>0</v>
      </c>
      <c r="E4" s="52">
        <v>1500</v>
      </c>
      <c r="F4" s="52">
        <v>1</v>
      </c>
      <c r="G4" s="52">
        <v>4</v>
      </c>
      <c r="H4" s="6" t="s">
        <v>277</v>
      </c>
      <c r="I4" s="16"/>
    </row>
    <row r="5" spans="1:9" x14ac:dyDescent="0.3">
      <c r="A5" s="12">
        <v>3</v>
      </c>
      <c r="B5" s="12" t="s">
        <v>275</v>
      </c>
      <c r="C5" s="12">
        <v>4</v>
      </c>
      <c r="D5" s="6">
        <v>0</v>
      </c>
      <c r="E5" s="52">
        <v>2000</v>
      </c>
      <c r="F5" s="52">
        <v>1</v>
      </c>
      <c r="G5" s="52">
        <v>6</v>
      </c>
      <c r="H5" s="6" t="s">
        <v>278</v>
      </c>
      <c r="I5" s="16"/>
    </row>
    <row r="6" spans="1:9" x14ac:dyDescent="0.3">
      <c r="A6" s="12">
        <v>4</v>
      </c>
      <c r="B6" s="12" t="s">
        <v>275</v>
      </c>
      <c r="C6" s="12">
        <v>5</v>
      </c>
      <c r="D6" s="6">
        <v>0</v>
      </c>
      <c r="E6" s="52">
        <v>2500</v>
      </c>
      <c r="F6" s="52">
        <v>1</v>
      </c>
      <c r="G6" s="52">
        <v>8</v>
      </c>
      <c r="H6" s="14" t="s">
        <v>279</v>
      </c>
      <c r="I6" s="16"/>
    </row>
    <row r="7" spans="1:9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77"/>
      <c r="B8" s="77"/>
      <c r="C8" s="77"/>
    </row>
    <row r="9" spans="1:9" x14ac:dyDescent="0.3">
      <c r="A9" s="77"/>
      <c r="B9" s="77"/>
      <c r="C9" s="77"/>
    </row>
    <row r="10" spans="1:9" x14ac:dyDescent="0.3">
      <c r="A10" s="77"/>
      <c r="B10" s="77"/>
      <c r="C10" s="77"/>
    </row>
    <row r="11" spans="1:9" x14ac:dyDescent="0.3">
      <c r="A11" s="77"/>
      <c r="B11" s="77"/>
      <c r="C11" s="77"/>
    </row>
    <row r="12" spans="1:9" x14ac:dyDescent="0.3">
      <c r="B12" s="77"/>
      <c r="C12" s="77"/>
    </row>
    <row r="13" spans="1:9" x14ac:dyDescent="0.3">
      <c r="B13" s="77"/>
      <c r="C13" s="78"/>
    </row>
    <row r="14" spans="1:9" x14ac:dyDescent="0.3">
      <c r="B14" s="77"/>
      <c r="C14" s="78"/>
    </row>
    <row r="15" spans="1:9" x14ac:dyDescent="0.3">
      <c r="B15" s="77"/>
      <c r="C15" s="78"/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"/>
  <sheetViews>
    <sheetView workbookViewId="0"/>
  </sheetViews>
  <sheetFormatPr defaultRowHeight="16.5" x14ac:dyDescent="0.3"/>
  <cols>
    <col min="1" max="1" width="24.5" style="13" customWidth="1"/>
    <col min="2" max="2" width="20.625" style="13" customWidth="1"/>
    <col min="3" max="8" width="25.625" style="13" customWidth="1"/>
    <col min="9" max="16384" width="9" style="1"/>
  </cols>
  <sheetData>
    <row r="1" spans="1:9" ht="66" x14ac:dyDescent="0.3">
      <c r="A1" s="4" t="s">
        <v>198</v>
      </c>
      <c r="B1" s="4" t="s">
        <v>200</v>
      </c>
      <c r="C1" s="19" t="s">
        <v>156</v>
      </c>
      <c r="D1" s="4" t="s">
        <v>202</v>
      </c>
      <c r="E1" s="19" t="s">
        <v>160</v>
      </c>
      <c r="F1" s="19" t="s">
        <v>205</v>
      </c>
      <c r="G1" s="4" t="s">
        <v>207</v>
      </c>
      <c r="H1" s="4" t="s">
        <v>209</v>
      </c>
      <c r="I1" s="4" t="s">
        <v>5</v>
      </c>
    </row>
    <row r="2" spans="1:9" x14ac:dyDescent="0.3">
      <c r="A2" s="4" t="s">
        <v>199</v>
      </c>
      <c r="B2" s="4" t="s">
        <v>201</v>
      </c>
      <c r="C2" s="4" t="s">
        <v>157</v>
      </c>
      <c r="D2" s="4" t="s">
        <v>159</v>
      </c>
      <c r="E2" s="4" t="s">
        <v>203</v>
      </c>
      <c r="F2" s="4" t="s">
        <v>206</v>
      </c>
      <c r="G2" s="4" t="s">
        <v>208</v>
      </c>
      <c r="H2" s="4" t="s">
        <v>210</v>
      </c>
      <c r="I2" s="4" t="s">
        <v>123</v>
      </c>
    </row>
    <row r="3" spans="1:9" x14ac:dyDescent="0.3">
      <c r="A3" s="12">
        <v>1</v>
      </c>
      <c r="B3" s="12" t="s">
        <v>280</v>
      </c>
      <c r="C3" s="12">
        <v>0</v>
      </c>
      <c r="D3" s="12">
        <v>1500</v>
      </c>
      <c r="E3" s="12">
        <v>4</v>
      </c>
      <c r="F3" s="6">
        <v>5</v>
      </c>
      <c r="G3" s="6">
        <v>1</v>
      </c>
      <c r="H3" s="6"/>
      <c r="I3" s="16"/>
    </row>
    <row r="4" spans="1:9" x14ac:dyDescent="0.3">
      <c r="A4" s="12">
        <v>2</v>
      </c>
      <c r="B4" s="12" t="s">
        <v>281</v>
      </c>
      <c r="C4" s="12">
        <v>0</v>
      </c>
      <c r="D4" s="12">
        <v>1700</v>
      </c>
      <c r="E4" s="12">
        <v>4</v>
      </c>
      <c r="F4" s="6">
        <v>10</v>
      </c>
      <c r="G4" s="6">
        <v>1</v>
      </c>
      <c r="H4" s="12" t="s">
        <v>280</v>
      </c>
      <c r="I4" s="16"/>
    </row>
    <row r="5" spans="1:9" x14ac:dyDescent="0.3">
      <c r="A5" s="35">
        <v>3</v>
      </c>
      <c r="B5" s="35" t="s">
        <v>282</v>
      </c>
      <c r="C5" s="35">
        <v>0</v>
      </c>
      <c r="D5" s="35">
        <v>2000</v>
      </c>
      <c r="E5" s="35">
        <v>4</v>
      </c>
      <c r="F5" s="33">
        <v>15</v>
      </c>
      <c r="G5" s="33">
        <v>1</v>
      </c>
      <c r="H5" s="35" t="s">
        <v>281</v>
      </c>
      <c r="I5" s="36"/>
    </row>
    <row r="6" spans="1:9" x14ac:dyDescent="0.3">
      <c r="A6" s="28">
        <v>1</v>
      </c>
      <c r="B6" s="28" t="s">
        <v>283</v>
      </c>
      <c r="C6" s="28">
        <v>0</v>
      </c>
      <c r="D6" s="28">
        <v>1500</v>
      </c>
      <c r="E6" s="28">
        <v>3</v>
      </c>
      <c r="F6" s="31">
        <v>5</v>
      </c>
      <c r="G6" s="31">
        <v>1</v>
      </c>
      <c r="H6" s="31"/>
      <c r="I6" s="32"/>
    </row>
    <row r="7" spans="1:9" x14ac:dyDescent="0.3">
      <c r="A7" s="12">
        <v>2</v>
      </c>
      <c r="B7" s="12" t="s">
        <v>284</v>
      </c>
      <c r="C7" s="12">
        <v>0</v>
      </c>
      <c r="D7" s="12">
        <v>1700</v>
      </c>
      <c r="E7" s="12">
        <v>3</v>
      </c>
      <c r="F7" s="6">
        <v>10</v>
      </c>
      <c r="G7" s="6">
        <v>1</v>
      </c>
      <c r="H7" s="12" t="s">
        <v>283</v>
      </c>
      <c r="I7" s="16"/>
    </row>
    <row r="8" spans="1:9" x14ac:dyDescent="0.3">
      <c r="A8" s="6">
        <v>3</v>
      </c>
      <c r="B8" s="12" t="s">
        <v>285</v>
      </c>
      <c r="C8" s="12">
        <v>0</v>
      </c>
      <c r="D8" s="12">
        <v>2000</v>
      </c>
      <c r="E8" s="12">
        <v>3</v>
      </c>
      <c r="F8" s="6">
        <v>15</v>
      </c>
      <c r="G8" s="6">
        <v>1</v>
      </c>
      <c r="H8" s="12" t="s">
        <v>284</v>
      </c>
      <c r="I8" s="16"/>
    </row>
    <row r="9" spans="1:9" x14ac:dyDescent="0.3">
      <c r="A9" s="1"/>
      <c r="B9" s="1"/>
      <c r="C9" s="1"/>
      <c r="D9" s="1"/>
      <c r="E9" s="1"/>
      <c r="F9" s="1"/>
      <c r="G9" s="1"/>
      <c r="H9" s="1"/>
    </row>
  </sheetData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0"/>
  <sheetViews>
    <sheetView workbookViewId="0"/>
  </sheetViews>
  <sheetFormatPr defaultRowHeight="16.5" x14ac:dyDescent="0.3"/>
  <cols>
    <col min="1" max="1" width="24.5" style="13" customWidth="1"/>
    <col min="2" max="5" width="25.625" style="13" customWidth="1"/>
    <col min="6" max="6" width="22" style="1" customWidth="1"/>
    <col min="7" max="16384" width="9" style="1"/>
  </cols>
  <sheetData>
    <row r="1" spans="1:7" ht="33" x14ac:dyDescent="0.3">
      <c r="A1" s="4" t="s">
        <v>286</v>
      </c>
      <c r="B1" s="19" t="s">
        <v>156</v>
      </c>
      <c r="C1" s="4" t="s">
        <v>287</v>
      </c>
      <c r="D1" s="19" t="s">
        <v>146</v>
      </c>
      <c r="E1" s="4" t="s">
        <v>148</v>
      </c>
      <c r="F1" s="4" t="s">
        <v>5</v>
      </c>
    </row>
    <row r="2" spans="1:7" x14ac:dyDescent="0.3">
      <c r="A2" s="4" t="s">
        <v>288</v>
      </c>
      <c r="B2" s="4" t="s">
        <v>157</v>
      </c>
      <c r="C2" s="4" t="s">
        <v>159</v>
      </c>
      <c r="D2" s="4" t="s">
        <v>213</v>
      </c>
      <c r="E2" s="4" t="s">
        <v>214</v>
      </c>
      <c r="F2" s="4" t="s">
        <v>123</v>
      </c>
    </row>
    <row r="3" spans="1:7" x14ac:dyDescent="0.3">
      <c r="A3" s="50">
        <v>1</v>
      </c>
      <c r="B3" s="50">
        <v>0</v>
      </c>
      <c r="C3" s="50">
        <v>6000</v>
      </c>
      <c r="D3" s="50">
        <v>1</v>
      </c>
      <c r="E3" s="50">
        <f>3</f>
        <v>3</v>
      </c>
      <c r="F3" s="51" t="s">
        <v>289</v>
      </c>
    </row>
    <row r="4" spans="1:7" x14ac:dyDescent="0.3">
      <c r="A4" s="50">
        <v>1</v>
      </c>
      <c r="B4" s="50">
        <v>0</v>
      </c>
      <c r="C4" s="50">
        <v>6000</v>
      </c>
      <c r="D4" s="50">
        <v>2</v>
      </c>
      <c r="E4" s="50">
        <f>5</f>
        <v>5</v>
      </c>
      <c r="F4" s="51"/>
    </row>
    <row r="5" spans="1:7" x14ac:dyDescent="0.3">
      <c r="A5" s="50">
        <v>1</v>
      </c>
      <c r="B5" s="50">
        <v>0</v>
      </c>
      <c r="C5" s="50">
        <v>6000</v>
      </c>
      <c r="D5" s="50">
        <v>3</v>
      </c>
      <c r="E5" s="50">
        <v>10</v>
      </c>
      <c r="F5" s="51"/>
    </row>
    <row r="6" spans="1:7" x14ac:dyDescent="0.3">
      <c r="A6" s="50">
        <v>1</v>
      </c>
      <c r="B6" s="55">
        <v>1</v>
      </c>
      <c r="C6" s="50">
        <v>5</v>
      </c>
      <c r="D6" s="50">
        <v>2</v>
      </c>
      <c r="E6" s="50">
        <f>5</f>
        <v>5</v>
      </c>
      <c r="F6" s="51"/>
    </row>
    <row r="7" spans="1:7" x14ac:dyDescent="0.3">
      <c r="A7" s="50">
        <v>1</v>
      </c>
      <c r="B7" s="50">
        <v>1</v>
      </c>
      <c r="C7" s="50">
        <v>5</v>
      </c>
      <c r="D7" s="50">
        <v>3</v>
      </c>
      <c r="E7" s="50">
        <f>10</f>
        <v>10</v>
      </c>
      <c r="F7" s="51"/>
    </row>
    <row r="8" spans="1:7" x14ac:dyDescent="0.3">
      <c r="A8" s="50">
        <v>1</v>
      </c>
      <c r="B8" s="50">
        <v>2</v>
      </c>
      <c r="C8" s="50">
        <v>5</v>
      </c>
      <c r="D8" s="50">
        <v>1</v>
      </c>
      <c r="E8" s="50">
        <f>1</f>
        <v>1</v>
      </c>
      <c r="F8" s="51"/>
    </row>
    <row r="9" spans="1:7" x14ac:dyDescent="0.3">
      <c r="A9" s="50">
        <v>1</v>
      </c>
      <c r="B9" s="50">
        <v>2</v>
      </c>
      <c r="C9" s="50">
        <v>5</v>
      </c>
      <c r="D9" s="50">
        <v>3</v>
      </c>
      <c r="E9" s="50">
        <v>6</v>
      </c>
      <c r="F9" s="51"/>
    </row>
    <row r="10" spans="1:7" x14ac:dyDescent="0.3">
      <c r="A10" s="50">
        <v>1</v>
      </c>
      <c r="B10" s="50">
        <v>3</v>
      </c>
      <c r="C10" s="50">
        <v>10</v>
      </c>
      <c r="D10" s="50">
        <v>1</v>
      </c>
      <c r="E10" s="50">
        <f>1</f>
        <v>1</v>
      </c>
      <c r="F10" s="51"/>
    </row>
    <row r="11" spans="1:7" x14ac:dyDescent="0.3">
      <c r="A11" s="56">
        <v>1</v>
      </c>
      <c r="B11" s="56">
        <v>3</v>
      </c>
      <c r="C11" s="56">
        <v>10</v>
      </c>
      <c r="D11" s="56">
        <v>2</v>
      </c>
      <c r="E11" s="56">
        <f>3</f>
        <v>3</v>
      </c>
      <c r="F11" s="57"/>
    </row>
    <row r="12" spans="1:7" x14ac:dyDescent="0.3">
      <c r="A12" s="64">
        <v>2</v>
      </c>
      <c r="B12" s="64">
        <v>0</v>
      </c>
      <c r="C12" s="64">
        <v>5500</v>
      </c>
      <c r="D12" s="64">
        <v>1</v>
      </c>
      <c r="E12" s="64">
        <f>3</f>
        <v>3</v>
      </c>
      <c r="F12" s="65" t="s">
        <v>290</v>
      </c>
    </row>
    <row r="13" spans="1:7" x14ac:dyDescent="0.3">
      <c r="A13" s="66">
        <v>2</v>
      </c>
      <c r="B13" s="66">
        <v>0</v>
      </c>
      <c r="C13" s="66">
        <v>5500</v>
      </c>
      <c r="D13" s="66">
        <v>2</v>
      </c>
      <c r="E13" s="66">
        <f>5</f>
        <v>5</v>
      </c>
      <c r="F13" s="67"/>
    </row>
    <row r="14" spans="1:7" x14ac:dyDescent="0.3">
      <c r="A14" s="66">
        <v>2</v>
      </c>
      <c r="B14" s="66">
        <v>0</v>
      </c>
      <c r="C14" s="66">
        <v>5500</v>
      </c>
      <c r="D14" s="66">
        <v>3</v>
      </c>
      <c r="E14" s="66">
        <f>10</f>
        <v>10</v>
      </c>
      <c r="F14" s="67"/>
      <c r="G14"/>
    </row>
    <row r="15" spans="1:7" x14ac:dyDescent="0.3">
      <c r="A15" s="66">
        <v>2</v>
      </c>
      <c r="B15" s="66">
        <v>1</v>
      </c>
      <c r="C15" s="66">
        <v>5</v>
      </c>
      <c r="D15" s="66">
        <v>2</v>
      </c>
      <c r="E15" s="66">
        <f>6</f>
        <v>6</v>
      </c>
      <c r="F15" s="67"/>
      <c r="G15"/>
    </row>
    <row r="16" spans="1:7" x14ac:dyDescent="0.3">
      <c r="A16" s="66">
        <v>2</v>
      </c>
      <c r="B16" s="66">
        <v>1</v>
      </c>
      <c r="C16" s="66">
        <v>5</v>
      </c>
      <c r="D16" s="66">
        <v>3</v>
      </c>
      <c r="E16" s="66">
        <f>12</f>
        <v>12</v>
      </c>
      <c r="F16" s="67"/>
      <c r="G16"/>
    </row>
    <row r="17" spans="1:7" x14ac:dyDescent="0.3">
      <c r="A17" s="66">
        <v>2</v>
      </c>
      <c r="B17" s="66">
        <v>2</v>
      </c>
      <c r="C17" s="66">
        <v>5</v>
      </c>
      <c r="D17" s="66">
        <v>1</v>
      </c>
      <c r="E17" s="66">
        <f>2</f>
        <v>2</v>
      </c>
      <c r="F17" s="67"/>
      <c r="G17"/>
    </row>
    <row r="18" spans="1:7" x14ac:dyDescent="0.3">
      <c r="A18" s="66">
        <v>2</v>
      </c>
      <c r="B18" s="66">
        <v>2</v>
      </c>
      <c r="C18" s="66">
        <v>5</v>
      </c>
      <c r="D18" s="66">
        <v>3</v>
      </c>
      <c r="E18" s="66">
        <v>7</v>
      </c>
      <c r="F18" s="67"/>
    </row>
    <row r="19" spans="1:7" x14ac:dyDescent="0.3">
      <c r="A19" s="66">
        <v>2</v>
      </c>
      <c r="B19" s="66">
        <v>3</v>
      </c>
      <c r="C19" s="66">
        <v>10</v>
      </c>
      <c r="D19" s="66">
        <v>1</v>
      </c>
      <c r="E19" s="66">
        <f t="shared" ref="E19" si="0">2</f>
        <v>2</v>
      </c>
      <c r="F19" s="67"/>
    </row>
    <row r="20" spans="1:7" x14ac:dyDescent="0.3">
      <c r="A20" s="68">
        <v>2</v>
      </c>
      <c r="B20" s="68">
        <v>3</v>
      </c>
      <c r="C20" s="68">
        <v>10</v>
      </c>
      <c r="D20" s="68">
        <v>2</v>
      </c>
      <c r="E20" s="68">
        <f t="shared" ref="E20" si="1">3</f>
        <v>3</v>
      </c>
      <c r="F20" s="69"/>
    </row>
    <row r="21" spans="1:7" x14ac:dyDescent="0.3">
      <c r="A21" s="58">
        <v>3</v>
      </c>
      <c r="B21" s="58">
        <v>0</v>
      </c>
      <c r="C21" s="58">
        <v>5000</v>
      </c>
      <c r="D21" s="58">
        <v>1</v>
      </c>
      <c r="E21" s="58">
        <f t="shared" ref="E21" si="2">3</f>
        <v>3</v>
      </c>
      <c r="F21" s="59" t="s">
        <v>291</v>
      </c>
    </row>
    <row r="22" spans="1:7" x14ac:dyDescent="0.3">
      <c r="A22" s="50">
        <v>3</v>
      </c>
      <c r="B22" s="50">
        <v>0</v>
      </c>
      <c r="C22" s="50">
        <v>5000</v>
      </c>
      <c r="D22" s="50">
        <v>2</v>
      </c>
      <c r="E22" s="50">
        <f t="shared" ref="E22" si="3">5</f>
        <v>5</v>
      </c>
      <c r="F22" s="51"/>
    </row>
    <row r="23" spans="1:7" x14ac:dyDescent="0.3">
      <c r="A23" s="50">
        <v>3</v>
      </c>
      <c r="B23" s="50">
        <v>0</v>
      </c>
      <c r="C23" s="50">
        <v>5000</v>
      </c>
      <c r="D23" s="50">
        <v>3</v>
      </c>
      <c r="E23" s="50">
        <f t="shared" ref="E23" si="4">10</f>
        <v>10</v>
      </c>
      <c r="F23" s="51"/>
    </row>
    <row r="24" spans="1:7" x14ac:dyDescent="0.3">
      <c r="A24" s="50">
        <v>3</v>
      </c>
      <c r="B24" s="50">
        <v>1</v>
      </c>
      <c r="C24" s="50">
        <v>5</v>
      </c>
      <c r="D24" s="50">
        <v>2</v>
      </c>
      <c r="E24" s="50">
        <f t="shared" ref="E24" si="5">7</f>
        <v>7</v>
      </c>
      <c r="F24" s="51"/>
    </row>
    <row r="25" spans="1:7" x14ac:dyDescent="0.3">
      <c r="A25" s="50">
        <v>3</v>
      </c>
      <c r="B25" s="50">
        <v>1</v>
      </c>
      <c r="C25" s="50">
        <v>5</v>
      </c>
      <c r="D25" s="50">
        <v>3</v>
      </c>
      <c r="E25" s="50">
        <f t="shared" ref="E25" si="6">15</f>
        <v>15</v>
      </c>
      <c r="F25" s="51"/>
    </row>
    <row r="26" spans="1:7" x14ac:dyDescent="0.3">
      <c r="A26" s="50">
        <v>3</v>
      </c>
      <c r="B26" s="50">
        <v>2</v>
      </c>
      <c r="C26" s="50">
        <v>5</v>
      </c>
      <c r="D26" s="50">
        <v>1</v>
      </c>
      <c r="E26" s="50">
        <f t="shared" ref="E26" si="7">2</f>
        <v>2</v>
      </c>
      <c r="F26" s="51"/>
    </row>
    <row r="27" spans="1:7" x14ac:dyDescent="0.3">
      <c r="A27" s="50">
        <v>3</v>
      </c>
      <c r="B27" s="50">
        <v>2</v>
      </c>
      <c r="C27" s="50">
        <v>5</v>
      </c>
      <c r="D27" s="50">
        <v>3</v>
      </c>
      <c r="E27" s="50">
        <v>9</v>
      </c>
      <c r="F27" s="51"/>
    </row>
    <row r="28" spans="1:7" x14ac:dyDescent="0.3">
      <c r="A28" s="50">
        <v>3</v>
      </c>
      <c r="B28" s="50">
        <v>3</v>
      </c>
      <c r="C28" s="50">
        <v>10</v>
      </c>
      <c r="D28" s="50">
        <v>1</v>
      </c>
      <c r="E28" s="50">
        <f>2</f>
        <v>2</v>
      </c>
      <c r="F28" s="51"/>
    </row>
    <row r="29" spans="1:7" x14ac:dyDescent="0.3">
      <c r="A29" s="56">
        <v>3</v>
      </c>
      <c r="B29" s="56">
        <v>3</v>
      </c>
      <c r="C29" s="56">
        <v>10</v>
      </c>
      <c r="D29" s="56">
        <v>2</v>
      </c>
      <c r="E29" s="56">
        <f>4</f>
        <v>4</v>
      </c>
      <c r="F29" s="57"/>
      <c r="G29"/>
    </row>
    <row r="30" spans="1:7" x14ac:dyDescent="0.3">
      <c r="A30" s="1"/>
      <c r="B30" s="1"/>
      <c r="C30" s="1"/>
      <c r="D30" s="1"/>
      <c r="E30" s="1"/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3F76-2638-4072-B75B-76224D4FC2A6}">
  <dimension ref="A1:E5"/>
  <sheetViews>
    <sheetView workbookViewId="0"/>
  </sheetViews>
  <sheetFormatPr defaultRowHeight="16.5" x14ac:dyDescent="0.3"/>
  <cols>
    <col min="1" max="1" width="24.5" style="85" customWidth="1"/>
    <col min="2" max="5" width="25.625" style="85" customWidth="1"/>
    <col min="6" max="6" width="22" style="85" customWidth="1"/>
    <col min="7" max="16384" width="9" style="85"/>
  </cols>
  <sheetData>
    <row r="1" spans="1:5" ht="33" x14ac:dyDescent="0.3">
      <c r="A1" s="4" t="s">
        <v>312</v>
      </c>
      <c r="B1" s="19" t="s">
        <v>156</v>
      </c>
      <c r="C1" s="4" t="s">
        <v>313</v>
      </c>
      <c r="D1" s="4" t="s">
        <v>314</v>
      </c>
      <c r="E1" s="4" t="s">
        <v>5</v>
      </c>
    </row>
    <row r="2" spans="1:5" x14ac:dyDescent="0.3">
      <c r="A2" s="4" t="s">
        <v>315</v>
      </c>
      <c r="B2" s="4" t="s">
        <v>157</v>
      </c>
      <c r="C2" s="4" t="s">
        <v>159</v>
      </c>
      <c r="D2" s="4" t="s">
        <v>316</v>
      </c>
      <c r="E2" s="4" t="s">
        <v>123</v>
      </c>
    </row>
    <row r="3" spans="1:5" x14ac:dyDescent="0.3">
      <c r="A3" s="86">
        <v>1</v>
      </c>
      <c r="B3" s="86">
        <v>0</v>
      </c>
      <c r="C3" s="86">
        <v>1000</v>
      </c>
      <c r="D3" s="87">
        <v>1</v>
      </c>
      <c r="E3" s="86"/>
    </row>
    <row r="4" spans="1:5" x14ac:dyDescent="0.3">
      <c r="A4" s="86">
        <v>2</v>
      </c>
      <c r="B4" s="86">
        <v>0</v>
      </c>
      <c r="C4" s="86">
        <v>800</v>
      </c>
      <c r="D4" s="87">
        <v>1</v>
      </c>
      <c r="E4" s="86"/>
    </row>
    <row r="5" spans="1:5" x14ac:dyDescent="0.3">
      <c r="A5" s="86">
        <v>3</v>
      </c>
      <c r="B5" s="86">
        <v>0</v>
      </c>
      <c r="C5" s="86">
        <v>500</v>
      </c>
      <c r="D5" s="87">
        <v>1</v>
      </c>
      <c r="E5" s="86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문서 개요</vt:lpstr>
      <vt:lpstr>자원 정의</vt:lpstr>
      <vt:lpstr>협회 정의</vt:lpstr>
      <vt:lpstr>필드 자원</vt:lpstr>
      <vt:lpstr>거점</vt:lpstr>
      <vt:lpstr>건설</vt:lpstr>
      <vt:lpstr>본부 자금</vt:lpstr>
      <vt:lpstr>홍보부</vt:lpstr>
      <vt:lpstr>공방(제작)</vt:lpstr>
      <vt:lpstr>공방(강화)</vt:lpstr>
      <vt:lpstr>연구소</vt:lpstr>
      <vt:lpstr>훈련실</vt:lpstr>
      <vt:lpstr>교환소</vt:lpstr>
      <vt:lpstr>의무실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윤태일</cp:lastModifiedBy>
  <dcterms:modified xsi:type="dcterms:W3CDTF">2026-10-14T11:02:49Z</dcterms:modified>
</cp:coreProperties>
</file>