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HeroInfluencetmp\Assets\_ProtoType_Merge\ASB\Data\Excel\"/>
    </mc:Choice>
  </mc:AlternateContent>
  <xr:revisionPtr revIDLastSave="0" documentId="13_ncr:1_{7AD7EA63-E7A5-4A9D-BDFC-3D5CF7262EF9}" xr6:coauthVersionLast="36" xr6:coauthVersionMax="36" xr10:uidLastSave="{00000000-0000-0000-0000-000000000000}"/>
  <bookViews>
    <workbookView xWindow="-120" yWindow="-120" windowWidth="38640" windowHeight="15720" tabRatio="867" activeTab="11" xr2:uid="{B7614390-11AA-4CA0-8D0B-42C45BC335B4}"/>
  </bookViews>
  <sheets>
    <sheet name="문서 개요" sheetId="7" r:id="rId1"/>
    <sheet name="스테이터스" sheetId="8" r:id="rId2"/>
    <sheet name="성장 시스템" sheetId="5" r:id="rId3"/>
    <sheet name="필드 정의" sheetId="13" r:id="rId4"/>
    <sheet name="직업 스킬(기획용)" sheetId="6" state="hidden" r:id="rId5"/>
    <sheet name="무기(기획용)" sheetId="11" state="hidden" r:id="rId6"/>
    <sheet name="스탯 시뮬" sheetId="22" r:id="rId7"/>
    <sheet name="범례(시뮬용)" sheetId="18" r:id="rId8"/>
    <sheet name="전투 시뮬" sheetId="35" r:id="rId9"/>
    <sheet name="자동 결과 공식" sheetId="38" r:id="rId10"/>
    <sheet name="아군 유닛" sheetId="26" r:id="rId11"/>
    <sheet name="유닛 성장 경험치" sheetId="34" r:id="rId12"/>
    <sheet name="적군 유닛" sheetId="31" r:id="rId13"/>
    <sheet name="적군 부대" sheetId="37" r:id="rId14"/>
    <sheet name="직업 스킬" sheetId="32" r:id="rId15"/>
    <sheet name="무기" sheetId="30" r:id="rId1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7" i="38" l="1"/>
  <c r="I62" i="38"/>
  <c r="I19" i="38"/>
  <c r="I14" i="38"/>
  <c r="H96" i="38"/>
  <c r="G96" i="38"/>
  <c r="F96" i="38"/>
  <c r="H95" i="38"/>
  <c r="G95" i="38"/>
  <c r="F95" i="38"/>
  <c r="H94" i="38"/>
  <c r="G94" i="38"/>
  <c r="F94" i="38"/>
  <c r="H93" i="38"/>
  <c r="G93" i="38"/>
  <c r="F93" i="38"/>
  <c r="H92" i="38"/>
  <c r="G92" i="38"/>
  <c r="F92" i="38"/>
  <c r="E92" i="38"/>
  <c r="H80" i="38"/>
  <c r="G80" i="38"/>
  <c r="F80" i="38"/>
  <c r="H79" i="38"/>
  <c r="G79" i="38"/>
  <c r="F79" i="38"/>
  <c r="H78" i="38"/>
  <c r="G78" i="38"/>
  <c r="F78" i="38"/>
  <c r="H77" i="38"/>
  <c r="G77" i="38"/>
  <c r="F77" i="38"/>
  <c r="H76" i="38"/>
  <c r="G76" i="38"/>
  <c r="F76" i="38"/>
  <c r="E76" i="38"/>
  <c r="H67" i="38"/>
  <c r="G67" i="38"/>
  <c r="F67" i="38"/>
  <c r="H62" i="38"/>
  <c r="G62" i="38"/>
  <c r="F62" i="38"/>
  <c r="E62" i="38"/>
  <c r="H46" i="38"/>
  <c r="G46" i="38"/>
  <c r="F46" i="38"/>
  <c r="H45" i="38"/>
  <c r="G45" i="38"/>
  <c r="F45" i="38"/>
  <c r="H44" i="38"/>
  <c r="G44" i="38"/>
  <c r="F44" i="38"/>
  <c r="H43" i="38"/>
  <c r="G43" i="38"/>
  <c r="F43" i="38"/>
  <c r="H42" i="38"/>
  <c r="G42" i="38"/>
  <c r="F42" i="38"/>
  <c r="E42" i="38"/>
  <c r="H32" i="38"/>
  <c r="G32" i="38"/>
  <c r="F32" i="38"/>
  <c r="H31" i="38"/>
  <c r="G31" i="38"/>
  <c r="F31" i="38"/>
  <c r="H30" i="38"/>
  <c r="G30" i="38"/>
  <c r="F30" i="38"/>
  <c r="H29" i="38"/>
  <c r="G29" i="38"/>
  <c r="F29" i="38"/>
  <c r="H28" i="38"/>
  <c r="G28" i="38"/>
  <c r="F28" i="38"/>
  <c r="E28" i="38"/>
  <c r="H19" i="38"/>
  <c r="G19" i="38"/>
  <c r="F19" i="38"/>
  <c r="H14" i="38"/>
  <c r="G14" i="38"/>
  <c r="F14" i="38"/>
  <c r="E14" i="38"/>
  <c r="F109" i="35"/>
  <c r="G156" i="35"/>
  <c r="G153" i="35"/>
  <c r="C149" i="35"/>
  <c r="G149" i="35" s="1"/>
  <c r="G97" i="38" l="1"/>
  <c r="I97" i="38" s="1"/>
  <c r="F97" i="38"/>
  <c r="G81" i="38"/>
  <c r="I81" i="38" s="1"/>
  <c r="F47" i="38"/>
  <c r="F81" i="38"/>
  <c r="H97" i="38"/>
  <c r="I92" i="38" s="1"/>
  <c r="H33" i="38"/>
  <c r="I28" i="38" s="1"/>
  <c r="H81" i="38"/>
  <c r="I76" i="38" s="1"/>
  <c r="H47" i="38"/>
  <c r="I42" i="38" s="1"/>
  <c r="G33" i="38"/>
  <c r="I33" i="38" s="1"/>
  <c r="G47" i="38"/>
  <c r="I47" i="38" s="1"/>
  <c r="F33" i="38"/>
  <c r="H20" i="34"/>
  <c r="H21" i="34" s="1"/>
  <c r="H22" i="34" s="1"/>
  <c r="H23" i="34" s="1"/>
  <c r="H24" i="34" s="1"/>
  <c r="H25" i="34" s="1"/>
  <c r="H26" i="34" s="1"/>
  <c r="F20" i="34"/>
  <c r="F21" i="34"/>
  <c r="F22" i="34"/>
  <c r="F23" i="34"/>
  <c r="F24" i="34"/>
  <c r="F25" i="34"/>
  <c r="F26" i="34"/>
  <c r="F19" i="34"/>
  <c r="G18" i="35"/>
  <c r="H18" i="35"/>
  <c r="I18" i="35"/>
  <c r="E8" i="22"/>
  <c r="E15" i="22" s="1"/>
  <c r="E9" i="22"/>
  <c r="E16" i="22" s="1"/>
  <c r="E10" i="22"/>
  <c r="E17" i="22" s="1"/>
  <c r="E7" i="22"/>
  <c r="E14" i="22" s="1"/>
  <c r="E15" i="35"/>
  <c r="E16" i="35"/>
  <c r="E17" i="35"/>
  <c r="E14" i="35"/>
  <c r="J18" i="35"/>
  <c r="K18" i="35"/>
  <c r="L18" i="35"/>
  <c r="M18" i="35"/>
  <c r="H19" i="35"/>
  <c r="I19" i="35"/>
  <c r="J19" i="35"/>
  <c r="K19" i="35"/>
  <c r="L19" i="35"/>
  <c r="M19" i="35"/>
  <c r="H20" i="35"/>
  <c r="I20" i="35"/>
  <c r="J20" i="35"/>
  <c r="K20" i="35"/>
  <c r="L20" i="35"/>
  <c r="M20" i="35"/>
  <c r="H21" i="35"/>
  <c r="I21" i="35"/>
  <c r="J21" i="35"/>
  <c r="K21" i="35"/>
  <c r="L21" i="35"/>
  <c r="M21" i="35"/>
  <c r="G19" i="35"/>
  <c r="G20" i="35"/>
  <c r="G21" i="35"/>
  <c r="I22" i="31"/>
  <c r="G22" i="31"/>
  <c r="E22" i="31"/>
  <c r="E110" i="35" l="1"/>
  <c r="D110" i="35"/>
  <c r="C110" i="35"/>
  <c r="D114" i="35" s="1"/>
  <c r="M39" i="35"/>
  <c r="J39" i="35"/>
  <c r="G39" i="35"/>
  <c r="D39" i="35"/>
  <c r="L39" i="35"/>
  <c r="I39" i="35"/>
  <c r="F39" i="35"/>
  <c r="C39" i="35"/>
  <c r="N37" i="22"/>
  <c r="M37" i="22"/>
  <c r="I30" i="22"/>
  <c r="I31" i="22"/>
  <c r="I32" i="22"/>
  <c r="I29" i="22"/>
  <c r="H29" i="22"/>
  <c r="H30" i="22"/>
  <c r="N38" i="22" s="1"/>
  <c r="H31" i="22"/>
  <c r="H32" i="22"/>
  <c r="C8" i="22"/>
  <c r="C9" i="22"/>
  <c r="C10" i="22"/>
  <c r="C7" i="22"/>
  <c r="H23" i="22"/>
  <c r="H24" i="22"/>
  <c r="H25" i="22"/>
  <c r="H22" i="22"/>
  <c r="I25" i="22"/>
  <c r="I24" i="22"/>
  <c r="I23" i="22"/>
  <c r="I22" i="22"/>
  <c r="G23" i="22"/>
  <c r="G24" i="22"/>
  <c r="G25" i="22"/>
  <c r="G22" i="22"/>
  <c r="K23" i="22"/>
  <c r="L23" i="22"/>
  <c r="M23" i="22"/>
  <c r="K24" i="22"/>
  <c r="L24" i="22"/>
  <c r="M24" i="22"/>
  <c r="K25" i="22"/>
  <c r="L25" i="22"/>
  <c r="M25" i="22"/>
  <c r="J25" i="22"/>
  <c r="J24" i="22"/>
  <c r="J23" i="22"/>
  <c r="M22" i="22"/>
  <c r="J22" i="22"/>
  <c r="K22" i="22"/>
  <c r="L22" i="22"/>
  <c r="E24" i="22"/>
  <c r="E25" i="22"/>
  <c r="E23" i="22"/>
  <c r="E22" i="22"/>
  <c r="C25" i="22" l="1"/>
  <c r="H10" i="22"/>
  <c r="H17" i="22" s="1"/>
  <c r="K10" i="22"/>
  <c r="L10" i="22"/>
  <c r="M10" i="22"/>
  <c r="D10" i="22"/>
  <c r="I10" i="22"/>
  <c r="I17" i="22" s="1"/>
  <c r="J10" i="22"/>
  <c r="J17" i="22" s="1"/>
  <c r="N10" i="22"/>
  <c r="C24" i="22"/>
  <c r="D9" i="22"/>
  <c r="H9" i="22"/>
  <c r="H16" i="22" s="1"/>
  <c r="N9" i="22"/>
  <c r="I9" i="22"/>
  <c r="I16" i="22" s="1"/>
  <c r="K9" i="22"/>
  <c r="J9" i="22"/>
  <c r="J16" i="22" s="1"/>
  <c r="L9" i="22"/>
  <c r="M9" i="22"/>
  <c r="C23" i="22"/>
  <c r="I8" i="22"/>
  <c r="I15" i="22" s="1"/>
  <c r="K8" i="22"/>
  <c r="L8" i="22"/>
  <c r="H8" i="22"/>
  <c r="H15" i="22" s="1"/>
  <c r="D8" i="22"/>
  <c r="J8" i="22"/>
  <c r="J15" i="22" s="1"/>
  <c r="M8" i="22"/>
  <c r="N8" i="22"/>
  <c r="C22" i="22"/>
  <c r="D7" i="22"/>
  <c r="N7" i="22"/>
  <c r="I7" i="22"/>
  <c r="I14" i="22" s="1"/>
  <c r="M7" i="22"/>
  <c r="J7" i="22"/>
  <c r="J14" i="22" s="1"/>
  <c r="L7" i="22"/>
  <c r="K7" i="22"/>
  <c r="H7" i="22"/>
  <c r="H14" i="22" s="1"/>
  <c r="J40" i="35"/>
  <c r="M40" i="35"/>
  <c r="G40" i="35"/>
  <c r="D40" i="35"/>
  <c r="AS20" i="30" l="1"/>
  <c r="AR20" i="30"/>
  <c r="AS19" i="30"/>
  <c r="AR19" i="30"/>
  <c r="AS18" i="30"/>
  <c r="AR18" i="30"/>
  <c r="AS17" i="30"/>
  <c r="AR17" i="30"/>
  <c r="AS16" i="30"/>
  <c r="AR16" i="30"/>
  <c r="AS15" i="30"/>
  <c r="AR15" i="30"/>
  <c r="AS14" i="30"/>
  <c r="AR14" i="30"/>
  <c r="AS13" i="30"/>
  <c r="AR13" i="30"/>
  <c r="AS12" i="30"/>
  <c r="AR12" i="30"/>
  <c r="AS11" i="30"/>
  <c r="AR11" i="30"/>
  <c r="AS10" i="30"/>
  <c r="AR10" i="30"/>
  <c r="AS9" i="30"/>
  <c r="AR9" i="30"/>
  <c r="AS8" i="30"/>
  <c r="AR8" i="30"/>
  <c r="AS7" i="30"/>
  <c r="AR7" i="30"/>
  <c r="AS6" i="30"/>
  <c r="AR6" i="30"/>
  <c r="AQ20" i="30"/>
  <c r="AP20" i="30"/>
  <c r="AQ19" i="30"/>
  <c r="AP19" i="30"/>
  <c r="AQ18" i="30"/>
  <c r="AP18" i="30"/>
  <c r="AQ17" i="30"/>
  <c r="AP17" i="30"/>
  <c r="AQ16" i="30"/>
  <c r="AP16" i="30"/>
  <c r="AQ15" i="30"/>
  <c r="AP15" i="30"/>
  <c r="AQ14" i="30"/>
  <c r="AP14" i="30"/>
  <c r="AQ13" i="30"/>
  <c r="AP13" i="30"/>
  <c r="AQ12" i="30"/>
  <c r="AP12" i="30"/>
  <c r="AQ11" i="30"/>
  <c r="AP11" i="30"/>
  <c r="AQ10" i="30"/>
  <c r="AP10" i="30"/>
  <c r="AQ9" i="30"/>
  <c r="AP9" i="30"/>
  <c r="AQ8" i="30"/>
  <c r="AP8" i="30"/>
  <c r="AQ7" i="30"/>
  <c r="AP7" i="30"/>
  <c r="AQ6" i="30"/>
  <c r="AP6" i="30"/>
  <c r="X40" i="32"/>
  <c r="W40" i="32"/>
  <c r="X39" i="32"/>
  <c r="W39" i="32"/>
  <c r="X38" i="32"/>
  <c r="W38" i="32"/>
  <c r="X37" i="32"/>
  <c r="W37" i="32"/>
  <c r="X36" i="32"/>
  <c r="W36" i="32"/>
  <c r="X35" i="32"/>
  <c r="W35" i="32"/>
  <c r="X34" i="32"/>
  <c r="W34" i="32"/>
  <c r="X33" i="32"/>
  <c r="W33" i="32"/>
  <c r="X32" i="32"/>
  <c r="W32" i="32"/>
  <c r="X31" i="32"/>
  <c r="W31" i="32"/>
  <c r="X30" i="32"/>
  <c r="W30" i="32"/>
  <c r="X29" i="32"/>
  <c r="W29" i="32"/>
  <c r="X28" i="32"/>
  <c r="W28" i="32"/>
  <c r="X27" i="32"/>
  <c r="W27" i="32"/>
  <c r="X26" i="32"/>
  <c r="W26" i="32"/>
  <c r="X25" i="32"/>
  <c r="W25" i="32"/>
  <c r="X24" i="32"/>
  <c r="W24" i="32"/>
  <c r="X23" i="32"/>
  <c r="W23" i="32"/>
  <c r="X22" i="32"/>
  <c r="W22" i="32"/>
  <c r="X21" i="32"/>
  <c r="W21" i="32"/>
  <c r="X20" i="32"/>
  <c r="W20" i="32"/>
  <c r="X19" i="32"/>
  <c r="X18" i="32"/>
  <c r="W18" i="32"/>
  <c r="X17" i="32"/>
  <c r="W17" i="32"/>
  <c r="X16" i="32"/>
  <c r="W16" i="32"/>
  <c r="X15" i="32"/>
  <c r="W15" i="32"/>
  <c r="X14" i="32"/>
  <c r="W14" i="32"/>
  <c r="X13" i="32"/>
  <c r="W13" i="32"/>
  <c r="X12" i="32"/>
  <c r="X11" i="32"/>
  <c r="W11" i="32"/>
  <c r="X10" i="32"/>
  <c r="W10" i="32"/>
  <c r="X9" i="32"/>
  <c r="W9" i="32"/>
  <c r="X8" i="32"/>
  <c r="W8" i="32"/>
  <c r="X7" i="32"/>
  <c r="W7" i="32"/>
  <c r="X6" i="32"/>
  <c r="W6" i="32"/>
  <c r="V20" i="32"/>
  <c r="V8" i="32"/>
  <c r="R40" i="32"/>
  <c r="T40" i="32" s="1"/>
  <c r="V40" i="32" s="1"/>
  <c r="Q40" i="32"/>
  <c r="S40" i="32" s="1"/>
  <c r="U40" i="32" s="1"/>
  <c r="R39" i="32"/>
  <c r="T39" i="32" s="1"/>
  <c r="V39" i="32" s="1"/>
  <c r="Q39" i="32"/>
  <c r="S39" i="32" s="1"/>
  <c r="U39" i="32" s="1"/>
  <c r="R38" i="32"/>
  <c r="T38" i="32" s="1"/>
  <c r="V38" i="32" s="1"/>
  <c r="Q38" i="32"/>
  <c r="S38" i="32" s="1"/>
  <c r="U38" i="32" s="1"/>
  <c r="R37" i="32"/>
  <c r="T37" i="32" s="1"/>
  <c r="V37" i="32" s="1"/>
  <c r="Q37" i="32"/>
  <c r="S37" i="32" s="1"/>
  <c r="U37" i="32" s="1"/>
  <c r="Q36" i="32"/>
  <c r="S36" i="32" s="1"/>
  <c r="U36" i="32" s="1"/>
  <c r="P36" i="32"/>
  <c r="R36" i="32" s="1"/>
  <c r="T36" i="32" s="1"/>
  <c r="V36" i="32" s="1"/>
  <c r="R35" i="32"/>
  <c r="T35" i="32" s="1"/>
  <c r="V35" i="32" s="1"/>
  <c r="Q35" i="32"/>
  <c r="S35" i="32" s="1"/>
  <c r="U35" i="32" s="1"/>
  <c r="R34" i="32"/>
  <c r="T34" i="32" s="1"/>
  <c r="V34" i="32" s="1"/>
  <c r="Q34" i="32"/>
  <c r="S34" i="32" s="1"/>
  <c r="U34" i="32" s="1"/>
  <c r="R33" i="32"/>
  <c r="T33" i="32" s="1"/>
  <c r="V33" i="32" s="1"/>
  <c r="Q33" i="32"/>
  <c r="S33" i="32" s="1"/>
  <c r="U33" i="32" s="1"/>
  <c r="R32" i="32"/>
  <c r="T32" i="32" s="1"/>
  <c r="V32" i="32" s="1"/>
  <c r="Q32" i="32"/>
  <c r="S32" i="32" s="1"/>
  <c r="U32" i="32" s="1"/>
  <c r="R31" i="32"/>
  <c r="T31" i="32" s="1"/>
  <c r="V31" i="32" s="1"/>
  <c r="Q31" i="32"/>
  <c r="S31" i="32" s="1"/>
  <c r="U31" i="32" s="1"/>
  <c r="R30" i="32"/>
  <c r="T30" i="32" s="1"/>
  <c r="V30" i="32" s="1"/>
  <c r="Q30" i="32"/>
  <c r="S30" i="32" s="1"/>
  <c r="U30" i="32" s="1"/>
  <c r="R29" i="32"/>
  <c r="T29" i="32" s="1"/>
  <c r="V29" i="32" s="1"/>
  <c r="Q29" i="32"/>
  <c r="S29" i="32" s="1"/>
  <c r="U29" i="32" s="1"/>
  <c r="R28" i="32"/>
  <c r="T28" i="32" s="1"/>
  <c r="V28" i="32" s="1"/>
  <c r="Q28" i="32"/>
  <c r="S28" i="32" s="1"/>
  <c r="U28" i="32" s="1"/>
  <c r="R27" i="32"/>
  <c r="T27" i="32" s="1"/>
  <c r="V27" i="32" s="1"/>
  <c r="Q27" i="32"/>
  <c r="S27" i="32" s="1"/>
  <c r="U27" i="32" s="1"/>
  <c r="R26" i="32"/>
  <c r="T26" i="32" s="1"/>
  <c r="V26" i="32" s="1"/>
  <c r="Q26" i="32"/>
  <c r="S26" i="32" s="1"/>
  <c r="U26" i="32" s="1"/>
  <c r="S25" i="32"/>
  <c r="U25" i="32" s="1"/>
  <c r="R25" i="32"/>
  <c r="T25" i="32" s="1"/>
  <c r="V25" i="32" s="1"/>
  <c r="Q25" i="32"/>
  <c r="R24" i="32"/>
  <c r="T24" i="32" s="1"/>
  <c r="V24" i="32" s="1"/>
  <c r="Q24" i="32"/>
  <c r="S24" i="32" s="1"/>
  <c r="U24" i="32" s="1"/>
  <c r="R23" i="32"/>
  <c r="T23" i="32" s="1"/>
  <c r="V23" i="32" s="1"/>
  <c r="Q23" i="32"/>
  <c r="S23" i="32" s="1"/>
  <c r="U23" i="32" s="1"/>
  <c r="R22" i="32"/>
  <c r="T22" i="32" s="1"/>
  <c r="V22" i="32" s="1"/>
  <c r="Q22" i="32"/>
  <c r="S22" i="32" s="1"/>
  <c r="U22" i="32" s="1"/>
  <c r="R21" i="32"/>
  <c r="T21" i="32" s="1"/>
  <c r="V21" i="32" s="1"/>
  <c r="Q21" i="32"/>
  <c r="S21" i="32" s="1"/>
  <c r="U21" i="32" s="1"/>
  <c r="R20" i="32"/>
  <c r="T20" i="32" s="1"/>
  <c r="Q20" i="32"/>
  <c r="S20" i="32" s="1"/>
  <c r="U20" i="32" s="1"/>
  <c r="R19" i="32"/>
  <c r="T19" i="32" s="1"/>
  <c r="V19" i="32" s="1"/>
  <c r="R18" i="32"/>
  <c r="T18" i="32" s="1"/>
  <c r="V18" i="32" s="1"/>
  <c r="Q18" i="32"/>
  <c r="S18" i="32" s="1"/>
  <c r="U18" i="32" s="1"/>
  <c r="R17" i="32"/>
  <c r="T17" i="32" s="1"/>
  <c r="V17" i="32" s="1"/>
  <c r="Q17" i="32"/>
  <c r="S17" i="32" s="1"/>
  <c r="U17" i="32" s="1"/>
  <c r="R16" i="32"/>
  <c r="T16" i="32" s="1"/>
  <c r="V16" i="32" s="1"/>
  <c r="Q16" i="32"/>
  <c r="S16" i="32" s="1"/>
  <c r="U16" i="32" s="1"/>
  <c r="R15" i="32"/>
  <c r="T15" i="32" s="1"/>
  <c r="V15" i="32" s="1"/>
  <c r="Q15" i="32"/>
  <c r="S15" i="32" s="1"/>
  <c r="U15" i="32" s="1"/>
  <c r="R14" i="32"/>
  <c r="T14" i="32" s="1"/>
  <c r="V14" i="32" s="1"/>
  <c r="Q14" i="32"/>
  <c r="S14" i="32" s="1"/>
  <c r="U14" i="32" s="1"/>
  <c r="R13" i="32"/>
  <c r="T13" i="32" s="1"/>
  <c r="V13" i="32" s="1"/>
  <c r="Q13" i="32"/>
  <c r="S13" i="32" s="1"/>
  <c r="U13" i="32" s="1"/>
  <c r="R12" i="32"/>
  <c r="T12" i="32" s="1"/>
  <c r="V12" i="32" s="1"/>
  <c r="R11" i="32"/>
  <c r="T11" i="32" s="1"/>
  <c r="V11" i="32" s="1"/>
  <c r="Q11" i="32"/>
  <c r="S11" i="32" s="1"/>
  <c r="U11" i="32" s="1"/>
  <c r="R10" i="32"/>
  <c r="T10" i="32" s="1"/>
  <c r="V10" i="32" s="1"/>
  <c r="Q10" i="32"/>
  <c r="S10" i="32" s="1"/>
  <c r="U10" i="32" s="1"/>
  <c r="R9" i="32"/>
  <c r="T9" i="32" s="1"/>
  <c r="V9" i="32" s="1"/>
  <c r="Q9" i="32"/>
  <c r="S9" i="32" s="1"/>
  <c r="U9" i="32" s="1"/>
  <c r="R8" i="32"/>
  <c r="T8" i="32" s="1"/>
  <c r="Q8" i="32"/>
  <c r="S8" i="32" s="1"/>
  <c r="U8" i="32" s="1"/>
  <c r="R7" i="32"/>
  <c r="T7" i="32" s="1"/>
  <c r="V7" i="32" s="1"/>
  <c r="Q7" i="32"/>
  <c r="S7" i="32" s="1"/>
  <c r="U7" i="32" s="1"/>
  <c r="R6" i="32"/>
  <c r="T6" i="32" s="1"/>
  <c r="V6" i="32" s="1"/>
  <c r="Q6" i="32"/>
  <c r="S6" i="32" s="1"/>
  <c r="U6" i="32" s="1"/>
  <c r="AM20" i="30"/>
  <c r="AO20" i="30" s="1"/>
  <c r="AL20" i="30"/>
  <c r="AN20" i="30" s="1"/>
  <c r="AM19" i="30"/>
  <c r="AO19" i="30" s="1"/>
  <c r="AL19" i="30"/>
  <c r="AN19" i="30" s="1"/>
  <c r="AM18" i="30"/>
  <c r="AO18" i="30" s="1"/>
  <c r="AL18" i="30"/>
  <c r="AN18" i="30" s="1"/>
  <c r="AM17" i="30"/>
  <c r="AO17" i="30" s="1"/>
  <c r="AL17" i="30"/>
  <c r="AN17" i="30" s="1"/>
  <c r="AM16" i="30"/>
  <c r="AO16" i="30" s="1"/>
  <c r="AL16" i="30"/>
  <c r="AN16" i="30" s="1"/>
  <c r="AM15" i="30"/>
  <c r="AO15" i="30" s="1"/>
  <c r="AL15" i="30"/>
  <c r="AN15" i="30" s="1"/>
  <c r="AM14" i="30"/>
  <c r="AO14" i="30" s="1"/>
  <c r="AL14" i="30"/>
  <c r="AN14" i="30" s="1"/>
  <c r="AM13" i="30"/>
  <c r="AO13" i="30" s="1"/>
  <c r="AL13" i="30"/>
  <c r="AN13" i="30" s="1"/>
  <c r="AM12" i="30"/>
  <c r="AO12" i="30" s="1"/>
  <c r="AL12" i="30"/>
  <c r="AN12" i="30" s="1"/>
  <c r="AM11" i="30"/>
  <c r="AO11" i="30" s="1"/>
  <c r="AL11" i="30"/>
  <c r="AN11" i="30" s="1"/>
  <c r="AM10" i="30"/>
  <c r="AO10" i="30" s="1"/>
  <c r="AL10" i="30"/>
  <c r="AN10" i="30" s="1"/>
  <c r="AM9" i="30"/>
  <c r="AO9" i="30" s="1"/>
  <c r="AL9" i="30"/>
  <c r="AN9" i="30" s="1"/>
  <c r="AM8" i="30"/>
  <c r="AO8" i="30" s="1"/>
  <c r="AL8" i="30"/>
  <c r="AN8" i="30" s="1"/>
  <c r="AM7" i="30"/>
  <c r="AO7" i="30" s="1"/>
  <c r="AL7" i="30"/>
  <c r="AN7" i="30" s="1"/>
  <c r="AM6" i="30"/>
  <c r="AO6" i="30" s="1"/>
  <c r="AL6" i="30"/>
  <c r="AN6" i="30" s="1"/>
  <c r="O33" i="6" l="1"/>
  <c r="AK4" i="11"/>
  <c r="AM4" i="11" s="1"/>
  <c r="AL4" i="11"/>
  <c r="AN4" i="11" s="1"/>
  <c r="AK5" i="11"/>
  <c r="AM5" i="11" s="1"/>
  <c r="AL5" i="11"/>
  <c r="AN5" i="11"/>
  <c r="AK6" i="11"/>
  <c r="AL6" i="11"/>
  <c r="AN6" i="11" s="1"/>
  <c r="AM6" i="11"/>
  <c r="AK7" i="11"/>
  <c r="AL7" i="11"/>
  <c r="AM7" i="11"/>
  <c r="AN7" i="11"/>
  <c r="AK8" i="11"/>
  <c r="AM8" i="11" s="1"/>
  <c r="AL8" i="11"/>
  <c r="AN8" i="11" s="1"/>
  <c r="AK9" i="11"/>
  <c r="AL9" i="11"/>
  <c r="AM9" i="11"/>
  <c r="AN9" i="11"/>
  <c r="AK10" i="11"/>
  <c r="AM10" i="11" s="1"/>
  <c r="AL10" i="11"/>
  <c r="AN10" i="11" s="1"/>
  <c r="AK11" i="11"/>
  <c r="AM11" i="11" s="1"/>
  <c r="AL11" i="11"/>
  <c r="AN11" i="11" s="1"/>
  <c r="AK12" i="11"/>
  <c r="AM12" i="11" s="1"/>
  <c r="AL12" i="11"/>
  <c r="AN12" i="11" s="1"/>
  <c r="AK13" i="11"/>
  <c r="AM13" i="11" s="1"/>
  <c r="AL13" i="11"/>
  <c r="AN13" i="11" s="1"/>
  <c r="AK14" i="11"/>
  <c r="AL14" i="11"/>
  <c r="AN14" i="11" s="1"/>
  <c r="AM14" i="11"/>
  <c r="AK15" i="11"/>
  <c r="AM15" i="11" s="1"/>
  <c r="AL15" i="11"/>
  <c r="AN15" i="11"/>
  <c r="AK16" i="11"/>
  <c r="AL16" i="11"/>
  <c r="AM16" i="11"/>
  <c r="AN16" i="11"/>
  <c r="AK17" i="11"/>
  <c r="AL17" i="11"/>
  <c r="AN17" i="11" s="1"/>
  <c r="AM17" i="11"/>
  <c r="AL3" i="11"/>
  <c r="AN3" i="11" s="1"/>
  <c r="AM3" i="11"/>
  <c r="AK3" i="11"/>
  <c r="P4" i="6"/>
  <c r="R4" i="6" s="1"/>
  <c r="T4" i="6" s="1"/>
  <c r="Q4" i="6"/>
  <c r="S4" i="6" s="1"/>
  <c r="U4" i="6" s="1"/>
  <c r="P5" i="6"/>
  <c r="R5" i="6" s="1"/>
  <c r="T5" i="6" s="1"/>
  <c r="Q5" i="6"/>
  <c r="S5" i="6" s="1"/>
  <c r="U5" i="6" s="1"/>
  <c r="P6" i="6"/>
  <c r="R6" i="6" s="1"/>
  <c r="T6" i="6" s="1"/>
  <c r="Q6" i="6"/>
  <c r="S6" i="6"/>
  <c r="U6" i="6" s="1"/>
  <c r="P7" i="6"/>
  <c r="R7" i="6" s="1"/>
  <c r="T7" i="6" s="1"/>
  <c r="Q7" i="6"/>
  <c r="S7" i="6"/>
  <c r="U7" i="6" s="1"/>
  <c r="P8" i="6"/>
  <c r="R8" i="6" s="1"/>
  <c r="T8" i="6" s="1"/>
  <c r="Q8" i="6"/>
  <c r="S8" i="6" s="1"/>
  <c r="U8" i="6" s="1"/>
  <c r="Q9" i="6"/>
  <c r="S9" i="6" s="1"/>
  <c r="U9" i="6" s="1"/>
  <c r="P10" i="6"/>
  <c r="Q10" i="6"/>
  <c r="R10" i="6"/>
  <c r="S10" i="6"/>
  <c r="T10" i="6"/>
  <c r="U10" i="6"/>
  <c r="P11" i="6"/>
  <c r="R11" i="6" s="1"/>
  <c r="T11" i="6" s="1"/>
  <c r="Q11" i="6"/>
  <c r="S11" i="6"/>
  <c r="U11" i="6"/>
  <c r="P12" i="6"/>
  <c r="R12" i="6" s="1"/>
  <c r="T12" i="6" s="1"/>
  <c r="Q12" i="6"/>
  <c r="S12" i="6"/>
  <c r="U12" i="6" s="1"/>
  <c r="P13" i="6"/>
  <c r="R13" i="6" s="1"/>
  <c r="T13" i="6" s="1"/>
  <c r="Q13" i="6"/>
  <c r="S13" i="6"/>
  <c r="U13" i="6" s="1"/>
  <c r="P14" i="6"/>
  <c r="R14" i="6" s="1"/>
  <c r="T14" i="6" s="1"/>
  <c r="Q14" i="6"/>
  <c r="S14" i="6"/>
  <c r="U14" i="6" s="1"/>
  <c r="P15" i="6"/>
  <c r="Q15" i="6"/>
  <c r="R15" i="6"/>
  <c r="S15" i="6"/>
  <c r="U15" i="6" s="1"/>
  <c r="T15" i="6"/>
  <c r="Q16" i="6"/>
  <c r="S16" i="6"/>
  <c r="U16" i="6"/>
  <c r="P17" i="6"/>
  <c r="Q17" i="6"/>
  <c r="R17" i="6"/>
  <c r="S17" i="6"/>
  <c r="T17" i="6"/>
  <c r="U17" i="6"/>
  <c r="P18" i="6"/>
  <c r="Q18" i="6"/>
  <c r="R18" i="6"/>
  <c r="T18" i="6" s="1"/>
  <c r="S18" i="6"/>
  <c r="U18" i="6"/>
  <c r="P19" i="6"/>
  <c r="R19" i="6" s="1"/>
  <c r="T19" i="6" s="1"/>
  <c r="Q19" i="6"/>
  <c r="S19" i="6"/>
  <c r="U19" i="6" s="1"/>
  <c r="P20" i="6"/>
  <c r="R20" i="6" s="1"/>
  <c r="T20" i="6" s="1"/>
  <c r="Q20" i="6"/>
  <c r="S20" i="6" s="1"/>
  <c r="U20" i="6" s="1"/>
  <c r="P21" i="6"/>
  <c r="R21" i="6" s="1"/>
  <c r="T21" i="6" s="1"/>
  <c r="Q21" i="6"/>
  <c r="S21" i="6"/>
  <c r="U21" i="6"/>
  <c r="P22" i="6"/>
  <c r="Q22" i="6"/>
  <c r="R22" i="6"/>
  <c r="S22" i="6"/>
  <c r="U22" i="6" s="1"/>
  <c r="T22" i="6"/>
  <c r="P23" i="6"/>
  <c r="R23" i="6" s="1"/>
  <c r="T23" i="6" s="1"/>
  <c r="Q23" i="6"/>
  <c r="S23" i="6" s="1"/>
  <c r="U23" i="6" s="1"/>
  <c r="P24" i="6"/>
  <c r="Q24" i="6"/>
  <c r="S24" i="6" s="1"/>
  <c r="U24" i="6" s="1"/>
  <c r="R24" i="6"/>
  <c r="T24" i="6" s="1"/>
  <c r="P25" i="6"/>
  <c r="R25" i="6" s="1"/>
  <c r="T25" i="6" s="1"/>
  <c r="Q25" i="6"/>
  <c r="S25" i="6" s="1"/>
  <c r="U25" i="6" s="1"/>
  <c r="P26" i="6"/>
  <c r="Q26" i="6"/>
  <c r="R26" i="6"/>
  <c r="T26" i="6" s="1"/>
  <c r="S26" i="6"/>
  <c r="U26" i="6" s="1"/>
  <c r="P27" i="6"/>
  <c r="Q27" i="6"/>
  <c r="R27" i="6"/>
  <c r="S27" i="6"/>
  <c r="T27" i="6"/>
  <c r="U27" i="6"/>
  <c r="P28" i="6"/>
  <c r="Q28" i="6"/>
  <c r="R28" i="6"/>
  <c r="S28" i="6"/>
  <c r="T28" i="6"/>
  <c r="U28" i="6"/>
  <c r="P29" i="6"/>
  <c r="Q29" i="6"/>
  <c r="R29" i="6"/>
  <c r="S29" i="6"/>
  <c r="U29" i="6" s="1"/>
  <c r="T29" i="6"/>
  <c r="P30" i="6"/>
  <c r="Q30" i="6"/>
  <c r="R30" i="6"/>
  <c r="T30" i="6" s="1"/>
  <c r="S30" i="6"/>
  <c r="U30" i="6" s="1"/>
  <c r="P31" i="6"/>
  <c r="R31" i="6" s="1"/>
  <c r="T31" i="6" s="1"/>
  <c r="Q31" i="6"/>
  <c r="S31" i="6" s="1"/>
  <c r="U31" i="6" s="1"/>
  <c r="P32" i="6"/>
  <c r="R32" i="6" s="1"/>
  <c r="T32" i="6" s="1"/>
  <c r="Q32" i="6"/>
  <c r="S32" i="6"/>
  <c r="U32" i="6" s="1"/>
  <c r="P33" i="6"/>
  <c r="R33" i="6" s="1"/>
  <c r="T33" i="6" s="1"/>
  <c r="Q33" i="6"/>
  <c r="S33" i="6" s="1"/>
  <c r="U33" i="6" s="1"/>
  <c r="P34" i="6"/>
  <c r="R34" i="6" s="1"/>
  <c r="T34" i="6" s="1"/>
  <c r="Q34" i="6"/>
  <c r="S34" i="6" s="1"/>
  <c r="U34" i="6" s="1"/>
  <c r="P35" i="6"/>
  <c r="R35" i="6" s="1"/>
  <c r="T35" i="6" s="1"/>
  <c r="Q35" i="6"/>
  <c r="S35" i="6"/>
  <c r="U35" i="6" s="1"/>
  <c r="P36" i="6"/>
  <c r="R36" i="6" s="1"/>
  <c r="T36" i="6" s="1"/>
  <c r="Q36" i="6"/>
  <c r="S36" i="6"/>
  <c r="U36" i="6" s="1"/>
  <c r="P37" i="6"/>
  <c r="R37" i="6" s="1"/>
  <c r="T37" i="6" s="1"/>
  <c r="Q37" i="6"/>
  <c r="S37" i="6" s="1"/>
  <c r="U37" i="6" s="1"/>
  <c r="Q3" i="6"/>
  <c r="S3" i="6" s="1"/>
  <c r="U3" i="6" s="1"/>
  <c r="P3" i="6"/>
  <c r="R3" i="6" s="1"/>
  <c r="T3" i="6" s="1"/>
  <c r="F15" i="22" l="1"/>
  <c r="F16" i="22"/>
  <c r="F17" i="22"/>
  <c r="F8" i="22"/>
  <c r="F9" i="22"/>
  <c r="F10" i="22"/>
  <c r="F7" i="22"/>
  <c r="G8" i="22"/>
  <c r="G9" i="22"/>
  <c r="G10" i="22"/>
  <c r="G7" i="22"/>
  <c r="D16" i="22" l="1"/>
  <c r="D15" i="22"/>
  <c r="D17" i="22"/>
  <c r="C14" i="22" l="1"/>
  <c r="F14" i="22"/>
  <c r="D14" i="22"/>
  <c r="G15" i="22"/>
  <c r="G16" i="22"/>
  <c r="G17" i="22"/>
  <c r="G14" i="22"/>
  <c r="L40" i="22" l="1"/>
  <c r="L39" i="22"/>
  <c r="L38" i="22"/>
  <c r="L37" i="22"/>
  <c r="M40" i="22"/>
  <c r="M39" i="22"/>
  <c r="M38" i="22"/>
  <c r="H37" i="22"/>
  <c r="J14" i="35" s="1"/>
  <c r="F29" i="22"/>
  <c r="K38" i="22"/>
  <c r="M15" i="35" s="1"/>
  <c r="K39" i="22"/>
  <c r="M16" i="35" s="1"/>
  <c r="K40" i="22"/>
  <c r="M17" i="35" s="1"/>
  <c r="K37" i="22"/>
  <c r="M14" i="35" s="1"/>
  <c r="J38" i="22"/>
  <c r="L15" i="35" s="1"/>
  <c r="J39" i="22"/>
  <c r="L16" i="35" s="1"/>
  <c r="J40" i="22"/>
  <c r="L17" i="35" s="1"/>
  <c r="J37" i="22"/>
  <c r="L14" i="35" s="1"/>
  <c r="I38" i="22"/>
  <c r="K15" i="35" s="1"/>
  <c r="I39" i="22"/>
  <c r="K16" i="35" s="1"/>
  <c r="I40" i="22"/>
  <c r="K17" i="35" s="1"/>
  <c r="I37" i="22"/>
  <c r="K14" i="35" s="1"/>
  <c r="H38" i="22"/>
  <c r="J15" i="35" s="1"/>
  <c r="H39" i="22"/>
  <c r="J16" i="35" s="1"/>
  <c r="H40" i="22"/>
  <c r="J17" i="35" s="1"/>
  <c r="B3" i="18"/>
  <c r="B4" i="18"/>
  <c r="B5" i="18"/>
  <c r="B2" i="18"/>
  <c r="A3" i="18"/>
  <c r="L3" i="18" s="1"/>
  <c r="A4" i="18"/>
  <c r="L4" i="18" s="1"/>
  <c r="A5" i="18"/>
  <c r="L5" i="18" s="1"/>
  <c r="A2" i="18"/>
  <c r="L2" i="18" s="1"/>
  <c r="D40" i="22"/>
  <c r="C40" i="22"/>
  <c r="D39" i="22"/>
  <c r="C39" i="22"/>
  <c r="D38" i="22"/>
  <c r="C38" i="22"/>
  <c r="D37" i="22"/>
  <c r="C37" i="22"/>
  <c r="C29" i="22"/>
  <c r="D29" i="22"/>
  <c r="G29" i="22"/>
  <c r="D32" i="22"/>
  <c r="D31" i="22"/>
  <c r="D30" i="22"/>
  <c r="G32" i="22"/>
  <c r="G31" i="22"/>
  <c r="G30" i="22"/>
  <c r="F32" i="22"/>
  <c r="F31" i="22"/>
  <c r="F30" i="22"/>
  <c r="C32" i="22"/>
  <c r="C31" i="22"/>
  <c r="C30" i="22"/>
  <c r="C17" i="22"/>
  <c r="C16" i="22"/>
  <c r="C15" i="22"/>
  <c r="E40" i="22" l="1"/>
  <c r="G17" i="35" s="1"/>
  <c r="L40" i="35" s="1"/>
  <c r="F40" i="22"/>
  <c r="H17" i="35" s="1"/>
  <c r="G40" i="22"/>
  <c r="I17" i="35" s="1"/>
  <c r="E39" i="22"/>
  <c r="G16" i="35" s="1"/>
  <c r="I40" i="35" s="1"/>
  <c r="G39" i="22"/>
  <c r="I16" i="35" s="1"/>
  <c r="F39" i="22"/>
  <c r="H16" i="35" s="1"/>
  <c r="F38" i="22"/>
  <c r="H15" i="35" s="1"/>
  <c r="G38" i="22"/>
  <c r="I15" i="35" s="1"/>
  <c r="E38" i="22"/>
  <c r="G15" i="35" s="1"/>
  <c r="F40" i="35" s="1"/>
  <c r="N39" i="22"/>
  <c r="N40" i="22"/>
  <c r="F37" i="22"/>
  <c r="G37" i="22"/>
  <c r="E37" i="22"/>
  <c r="G14" i="35" s="1"/>
  <c r="O4" i="18"/>
  <c r="O5" i="18"/>
  <c r="N3" i="18"/>
  <c r="M2" i="18"/>
  <c r="J5" i="18" a="1"/>
  <c r="J4" i="18" a="1"/>
  <c r="J3" i="18" a="1"/>
  <c r="C109" i="35" l="1"/>
  <c r="C114" i="35" s="1"/>
  <c r="C40" i="35"/>
  <c r="E30" i="35"/>
  <c r="E27" i="35"/>
  <c r="E28" i="35"/>
  <c r="E29" i="35"/>
  <c r="J41" i="35" s="1"/>
  <c r="F27" i="35"/>
  <c r="F30" i="35"/>
  <c r="M41" i="35" s="1"/>
  <c r="F29" i="35"/>
  <c r="F28" i="35"/>
  <c r="E33" i="35"/>
  <c r="F33" i="35"/>
  <c r="C33" i="35"/>
  <c r="D33" i="35"/>
  <c r="F41" i="35" s="1"/>
  <c r="F42" i="35" s="1"/>
  <c r="F43" i="35" s="1"/>
  <c r="F44" i="35" s="1"/>
  <c r="F45" i="35" s="1"/>
  <c r="F46" i="35" s="1"/>
  <c r="F47" i="35" s="1"/>
  <c r="F48" i="35" s="1"/>
  <c r="D34" i="35"/>
  <c r="F34" i="35"/>
  <c r="C34" i="35"/>
  <c r="E34" i="35"/>
  <c r="I41" i="35" s="1"/>
  <c r="E35" i="35"/>
  <c r="C35" i="35"/>
  <c r="F35" i="35"/>
  <c r="L41" i="35" s="1"/>
  <c r="D35" i="35"/>
  <c r="D27" i="35"/>
  <c r="D30" i="35"/>
  <c r="D28" i="35"/>
  <c r="G41" i="35" s="1"/>
  <c r="D29" i="35"/>
  <c r="I14" i="35"/>
  <c r="E109" i="35" s="1"/>
  <c r="G110" i="35" s="1"/>
  <c r="H14" i="35"/>
  <c r="D109" i="35" s="1"/>
  <c r="G109" i="35" s="1"/>
  <c r="D115" i="35" s="1"/>
  <c r="D116" i="35" s="1"/>
  <c r="N4" i="18"/>
  <c r="J3" i="18"/>
  <c r="H3" i="18" s="1"/>
  <c r="M4" i="18"/>
  <c r="J5" i="18"/>
  <c r="H5" i="18" s="1"/>
  <c r="M5" i="18"/>
  <c r="N5" i="18"/>
  <c r="M3" i="18"/>
  <c r="O3" i="18"/>
  <c r="O2" i="18"/>
  <c r="N2" i="18"/>
  <c r="J4" i="18"/>
  <c r="J2" i="18" a="1"/>
  <c r="J2" i="18" s="1"/>
  <c r="C115" i="35" l="1"/>
  <c r="C116" i="35" s="1"/>
  <c r="I42" i="35"/>
  <c r="I43" i="35" s="1"/>
  <c r="I44" i="35" s="1"/>
  <c r="I45" i="35" s="1"/>
  <c r="I46" i="35" s="1"/>
  <c r="I47" i="35" s="1"/>
  <c r="I48" i="35" s="1"/>
  <c r="L42" i="35"/>
  <c r="L43" i="35" s="1"/>
  <c r="L44" i="35" s="1"/>
  <c r="L45" i="35" s="1"/>
  <c r="L46" i="35" s="1"/>
  <c r="L47" i="35" s="1"/>
  <c r="L48" i="35" s="1"/>
  <c r="F32" i="35"/>
  <c r="C32" i="35"/>
  <c r="C41" i="35" s="1"/>
  <c r="C42" i="35" s="1"/>
  <c r="C43" i="35" s="1"/>
  <c r="C44" i="35" s="1"/>
  <c r="C45" i="35" s="1"/>
  <c r="C46" i="35" s="1"/>
  <c r="C47" i="35" s="1"/>
  <c r="C48" i="35" s="1"/>
  <c r="C49" i="35" s="1"/>
  <c r="E32" i="35"/>
  <c r="D32" i="35"/>
  <c r="G42" i="35"/>
  <c r="G43" i="35" s="1"/>
  <c r="G44" i="35" s="1"/>
  <c r="G45" i="35" s="1"/>
  <c r="G46" i="35" s="1"/>
  <c r="G47" i="35" s="1"/>
  <c r="G48" i="35" s="1"/>
  <c r="M42" i="35"/>
  <c r="M43" i="35" s="1"/>
  <c r="M44" i="35" s="1"/>
  <c r="M45" i="35" s="1"/>
  <c r="M46" i="35" s="1"/>
  <c r="M47" i="35" s="1"/>
  <c r="M48" i="35" s="1"/>
  <c r="J42" i="35"/>
  <c r="J43" i="35" s="1"/>
  <c r="J44" i="35" s="1"/>
  <c r="J45" i="35" s="1"/>
  <c r="J46" i="35" s="1"/>
  <c r="J47" i="35" s="1"/>
  <c r="J48" i="35" s="1"/>
  <c r="C30" i="35"/>
  <c r="C27" i="35"/>
  <c r="D41" i="35" s="1"/>
  <c r="C28" i="35"/>
  <c r="C29" i="35"/>
  <c r="F49" i="35"/>
  <c r="E3" i="18"/>
  <c r="F3" i="18"/>
  <c r="G3" i="18"/>
  <c r="I3" i="18"/>
  <c r="C3" i="18"/>
  <c r="D3" i="18"/>
  <c r="E5" i="18"/>
  <c r="D5" i="18"/>
  <c r="G5" i="18"/>
  <c r="I5" i="18"/>
  <c r="C5" i="18"/>
  <c r="F5" i="18"/>
  <c r="H4" i="18"/>
  <c r="C4" i="18"/>
  <c r="D4" i="18"/>
  <c r="E4" i="18"/>
  <c r="F4" i="18"/>
  <c r="G4" i="18"/>
  <c r="I4" i="18"/>
  <c r="E2" i="18"/>
  <c r="F2" i="18"/>
  <c r="G2" i="18"/>
  <c r="H2" i="18"/>
  <c r="I2" i="18"/>
  <c r="D2" i="18"/>
  <c r="C2" i="18"/>
  <c r="D117" i="35" l="1"/>
  <c r="D118" i="35" s="1"/>
  <c r="D119" i="35" s="1"/>
  <c r="D120" i="35" s="1"/>
  <c r="D121" i="35" s="1"/>
  <c r="D42" i="35"/>
  <c r="D43" i="35" s="1"/>
  <c r="D44" i="35" s="1"/>
  <c r="D45" i="35" s="1"/>
  <c r="D46" i="35" s="1"/>
  <c r="D47" i="35" s="1"/>
  <c r="D48" i="35" s="1"/>
  <c r="J49" i="35"/>
  <c r="M49" i="35"/>
  <c r="G49" i="35"/>
  <c r="G50" i="35" s="1"/>
  <c r="L49" i="35"/>
  <c r="I49" i="35"/>
  <c r="C117" i="35" l="1"/>
  <c r="C118" i="35" s="1"/>
  <c r="C119" i="35" s="1"/>
  <c r="C120" i="35" s="1"/>
  <c r="C121" i="35" s="1"/>
  <c r="D122" i="35" s="1"/>
  <c r="G52" i="35"/>
  <c r="G51" i="35"/>
  <c r="M50" i="35"/>
  <c r="L50" i="35"/>
  <c r="I50" i="35"/>
  <c r="J50" i="35"/>
  <c r="F50" i="35"/>
  <c r="D49" i="35"/>
  <c r="D123" i="35" l="1"/>
  <c r="D124" i="35"/>
  <c r="C122" i="35"/>
  <c r="C124" i="35" s="1"/>
  <c r="F52" i="35"/>
  <c r="F51" i="35"/>
  <c r="I52" i="35"/>
  <c r="I51" i="35"/>
  <c r="J52" i="35"/>
  <c r="J51" i="35"/>
  <c r="L52" i="35"/>
  <c r="L51" i="35"/>
  <c r="M52" i="35"/>
  <c r="M51" i="35"/>
  <c r="C50" i="35"/>
  <c r="D50" i="35"/>
  <c r="C123" i="35" l="1"/>
  <c r="D52" i="35"/>
  <c r="D51" i="35"/>
  <c r="C52" i="35"/>
  <c r="C51" i="35"/>
</calcChain>
</file>

<file path=xl/sharedStrings.xml><?xml version="1.0" encoding="utf-8"?>
<sst xmlns="http://schemas.openxmlformats.org/spreadsheetml/2006/main" count="2308" uniqueCount="895">
  <si>
    <t>공격력</t>
    <phoneticPr fontId="4" type="noConversion"/>
  </si>
  <si>
    <t>Class</t>
    <phoneticPr fontId="4" type="noConversion"/>
  </si>
  <si>
    <t>CriticalRate</t>
    <phoneticPr fontId="4" type="noConversion"/>
  </si>
  <si>
    <t>Speed</t>
    <phoneticPr fontId="4" type="noConversion"/>
  </si>
  <si>
    <t>스피드</t>
    <phoneticPr fontId="4" type="noConversion"/>
  </si>
  <si>
    <t>CounterRate</t>
    <phoneticPr fontId="4" type="noConversion"/>
  </si>
  <si>
    <t>회피율</t>
    <phoneticPr fontId="4" type="noConversion"/>
  </si>
  <si>
    <t>반격율</t>
    <phoneticPr fontId="4" type="noConversion"/>
  </si>
  <si>
    <t>치명타율</t>
    <phoneticPr fontId="4" type="noConversion"/>
  </si>
  <si>
    <t>도발 베기</t>
    <phoneticPr fontId="4" type="noConversion"/>
  </si>
  <si>
    <t>정밀 사격</t>
    <phoneticPr fontId="4" type="noConversion"/>
  </si>
  <si>
    <t>연속 사격</t>
    <phoneticPr fontId="4" type="noConversion"/>
  </si>
  <si>
    <t>스킬 효과</t>
    <phoneticPr fontId="4" type="noConversion"/>
  </si>
  <si>
    <t>마력 폭발</t>
    <phoneticPr fontId="4" type="noConversion"/>
  </si>
  <si>
    <t>힐</t>
    <phoneticPr fontId="4" type="noConversion"/>
  </si>
  <si>
    <t>자신의 체력 50 단일 회복</t>
    <phoneticPr fontId="4" type="noConversion"/>
  </si>
  <si>
    <t>상대 전체 공격</t>
    <phoneticPr fontId="4" type="noConversion"/>
  </si>
  <si>
    <t>70% 확률로 스킬1 (70% 확률로 상대 후열 우선), 30% 확률로 스킬2</t>
    <phoneticPr fontId="4" type="noConversion"/>
  </si>
  <si>
    <t>일반 상황에서는 스킬1(50:50 확률로 젼열 또는 후열 타깃), 체력 60 이하 시 스킬2</t>
    <phoneticPr fontId="4" type="noConversion"/>
  </si>
  <si>
    <t>70% 확률로 스킬1, 30% 확률로 스킬2</t>
    <phoneticPr fontId="4" type="noConversion"/>
  </si>
  <si>
    <t>레벨</t>
    <phoneticPr fontId="4" type="noConversion"/>
  </si>
  <si>
    <t>직업</t>
    <phoneticPr fontId="4" type="noConversion"/>
  </si>
  <si>
    <t>ClassSkillName</t>
    <phoneticPr fontId="4" type="noConversion"/>
  </si>
  <si>
    <t>직업 스킬명</t>
    <phoneticPr fontId="4" type="noConversion"/>
  </si>
  <si>
    <t>ClassSkillDescription</t>
    <phoneticPr fontId="4" type="noConversion"/>
  </si>
  <si>
    <t>직업 스킬 설명</t>
    <phoneticPr fontId="4" type="noConversion"/>
  </si>
  <si>
    <t>불굴</t>
    <phoneticPr fontId="4" type="noConversion"/>
  </si>
  <si>
    <t>메테오</t>
    <phoneticPr fontId="4" type="noConversion"/>
  </si>
  <si>
    <t>붕괴</t>
    <phoneticPr fontId="4" type="noConversion"/>
  </si>
  <si>
    <t>광역 힐</t>
    <phoneticPr fontId="4" type="noConversion"/>
  </si>
  <si>
    <t>관통</t>
    <phoneticPr fontId="4" type="noConversion"/>
  </si>
  <si>
    <t>광역 도발</t>
    <phoneticPr fontId="4" type="noConversion"/>
  </si>
  <si>
    <t>돌파</t>
    <phoneticPr fontId="4" type="noConversion"/>
  </si>
  <si>
    <t>쌍렬 베기</t>
    <phoneticPr fontId="4" type="noConversion"/>
  </si>
  <si>
    <t>ClassSkillIndex</t>
    <phoneticPr fontId="4" type="noConversion"/>
  </si>
  <si>
    <t>직업 스킬 인덱스</t>
    <phoneticPr fontId="4" type="noConversion"/>
  </si>
  <si>
    <t>무기 스킬 인덱스</t>
    <phoneticPr fontId="4" type="noConversion"/>
  </si>
  <si>
    <t>WeaponSkillIndex</t>
    <phoneticPr fontId="4" type="noConversion"/>
  </si>
  <si>
    <t>전열 저격</t>
    <phoneticPr fontId="4" type="noConversion"/>
  </si>
  <si>
    <t>급소 저격</t>
    <phoneticPr fontId="4" type="noConversion"/>
  </si>
  <si>
    <t>화살비</t>
    <phoneticPr fontId="4" type="noConversion"/>
  </si>
  <si>
    <t>후열 저격</t>
    <phoneticPr fontId="4" type="noConversion"/>
  </si>
  <si>
    <t>최후의 일격</t>
    <phoneticPr fontId="4" type="noConversion"/>
  </si>
  <si>
    <t>파이어볼</t>
    <phoneticPr fontId="4" type="noConversion"/>
  </si>
  <si>
    <t>번개 확산</t>
    <phoneticPr fontId="4" type="noConversion"/>
  </si>
  <si>
    <t>연쇄 번개</t>
    <phoneticPr fontId="4" type="noConversion"/>
  </si>
  <si>
    <t>마력 집중</t>
    <phoneticPr fontId="4" type="noConversion"/>
  </si>
  <si>
    <t>신성탄</t>
    <phoneticPr fontId="4" type="noConversion"/>
  </si>
  <si>
    <t>심판의 빛</t>
    <phoneticPr fontId="4" type="noConversion"/>
  </si>
  <si>
    <t>긴급 치유</t>
    <phoneticPr fontId="4" type="noConversion"/>
  </si>
  <si>
    <t>신성 폭발</t>
    <phoneticPr fontId="4" type="noConversion"/>
  </si>
  <si>
    <t>기적</t>
    <phoneticPr fontId="4" type="noConversion"/>
  </si>
  <si>
    <t>수정 날짜</t>
    <phoneticPr fontId="4" type="noConversion"/>
  </si>
  <si>
    <t>버전</t>
    <phoneticPr fontId="4" type="noConversion"/>
  </si>
  <si>
    <t>강현재</t>
    <phoneticPr fontId="4" type="noConversion"/>
  </si>
  <si>
    <t>V1.0</t>
    <phoneticPr fontId="4" type="noConversion"/>
  </si>
  <si>
    <t>V1.1</t>
    <phoneticPr fontId="4" type="noConversion"/>
  </si>
  <si>
    <t>담당자</t>
    <phoneticPr fontId="4" type="noConversion"/>
  </si>
  <si>
    <t>수정 내역</t>
    <phoneticPr fontId="4" type="noConversion"/>
  </si>
  <si>
    <t>비고</t>
    <phoneticPr fontId="4" type="noConversion"/>
  </si>
  <si>
    <t>1. 문서 목적</t>
    <phoneticPr fontId="4" type="noConversion"/>
  </si>
  <si>
    <t>아군 및 적군 유닛 임시 스테이터스 기입, 
직업 스킬 기획</t>
    <phoneticPr fontId="4" type="noConversion"/>
  </si>
  <si>
    <t>스테이터스명</t>
    <phoneticPr fontId="4" type="noConversion"/>
  </si>
  <si>
    <t>설명</t>
    <phoneticPr fontId="4" type="noConversion"/>
  </si>
  <si>
    <t>규칙</t>
    <phoneticPr fontId="4" type="noConversion"/>
  </si>
  <si>
    <t>1) 유닛 스테이터스</t>
    <phoneticPr fontId="4" type="noConversion"/>
  </si>
  <si>
    <t>최대 체력</t>
    <phoneticPr fontId="4" type="noConversion"/>
  </si>
  <si>
    <t>피해 경감율</t>
    <phoneticPr fontId="4" type="noConversion"/>
  </si>
  <si>
    <t>* 0 ~ 4 범위 내 정수</t>
    <phoneticPr fontId="4" type="noConversion"/>
  </si>
  <si>
    <t>* 반격 발생시, 상대에게 반격자 공격력의 50% 대미지 증가
* 반격률 최대 70%</t>
    <phoneticPr fontId="4" type="noConversion"/>
  </si>
  <si>
    <t>* 치명타 발생시, 주는 대미지 증가: 기본 피해량의 150% 대미지 증가
* 치명타율 최대 70%</t>
    <phoneticPr fontId="4" type="noConversion"/>
  </si>
  <si>
    <t>* 피해 경감 발생 시, 받는 피해량을 50% 감소
* 피해경감율 최대 70%</t>
    <phoneticPr fontId="4" type="noConversion"/>
  </si>
  <si>
    <t>1. 성장 시스템 방향성</t>
    <phoneticPr fontId="4" type="noConversion"/>
  </si>
  <si>
    <t>클래스 콘셉트</t>
    <phoneticPr fontId="4" type="noConversion"/>
  </si>
  <si>
    <t>4. 경험치 획득 규칙</t>
    <phoneticPr fontId="4" type="noConversion"/>
  </si>
  <si>
    <t>무기명</t>
    <phoneticPr fontId="4" type="noConversion"/>
  </si>
  <si>
    <t>WeaponName</t>
    <phoneticPr fontId="4" type="noConversion"/>
  </si>
  <si>
    <t>무기 스킬명</t>
    <phoneticPr fontId="4" type="noConversion"/>
  </si>
  <si>
    <t>무기 스킬 설명</t>
    <phoneticPr fontId="4" type="noConversion"/>
  </si>
  <si>
    <t>WeaponSkillName</t>
    <phoneticPr fontId="4" type="noConversion"/>
  </si>
  <si>
    <t>무기 인덱스</t>
    <phoneticPr fontId="4" type="noConversion"/>
  </si>
  <si>
    <t>개발명</t>
    <phoneticPr fontId="4" type="noConversion"/>
  </si>
  <si>
    <t>필드명</t>
    <phoneticPr fontId="4" type="noConversion"/>
  </si>
  <si>
    <t>타입</t>
    <phoneticPr fontId="4" type="noConversion"/>
  </si>
  <si>
    <t>표기 규칙</t>
    <phoneticPr fontId="4" type="noConversion"/>
  </si>
  <si>
    <t>int</t>
    <phoneticPr fontId="4" type="noConversion"/>
  </si>
  <si>
    <t>string</t>
    <phoneticPr fontId="4" type="noConversion"/>
  </si>
  <si>
    <t>서로 다른 스테이터스를 가진 직업군, 캐릭터 생성 시 선택</t>
    <phoneticPr fontId="4" type="noConversion"/>
  </si>
  <si>
    <t>피해 경감 확률</t>
    <phoneticPr fontId="4" type="noConversion"/>
  </si>
  <si>
    <t>float</t>
    <phoneticPr fontId="4" type="noConversion"/>
  </si>
  <si>
    <t>1로 시작하는 다섯 자리 자연수로 표기, 예시) 10001</t>
    <phoneticPr fontId="4" type="noConversion"/>
  </si>
  <si>
    <t>아군 유닛 인덱스</t>
    <phoneticPr fontId="4" type="noConversion"/>
  </si>
  <si>
    <t>유닛 콘셉트 소개</t>
    <phoneticPr fontId="4" type="noConversion"/>
  </si>
  <si>
    <t>4 ≥ Speed ≥ 0</t>
    <phoneticPr fontId="4" type="noConversion"/>
  </si>
  <si>
    <t>1. 인덱스</t>
    <phoneticPr fontId="4" type="noConversion"/>
  </si>
  <si>
    <t>적군 유닛 인덱스</t>
    <phoneticPr fontId="4" type="noConversion"/>
  </si>
  <si>
    <t>EnemyIndex</t>
    <phoneticPr fontId="4" type="noConversion"/>
  </si>
  <si>
    <t>2로 시작하는 다섯 자리 자연수로 표기, 예시) 20001</t>
    <phoneticPr fontId="4" type="noConversion"/>
  </si>
  <si>
    <t>WeaponIndex</t>
    <phoneticPr fontId="4" type="noConversion"/>
  </si>
  <si>
    <t>3으로 시작하는 여섯 자리 자연수로 표기, 예시) 311010
(3 무기 + 1~3 장비 종류 + 1~9 직업 코드 + 001~999 인덱스)</t>
    <phoneticPr fontId="4" type="noConversion"/>
  </si>
  <si>
    <t>3으로 시작하는 여섯 자리 자연수로 표기, 예시) 310001
(3 무기 + 1~3 장비 종류 + 0 + 1~9 직업 코드 + 01~99 인덱스)</t>
    <phoneticPr fontId="4" type="noConversion"/>
  </si>
  <si>
    <t>list&lt;int&gt;</t>
    <phoneticPr fontId="4" type="noConversion"/>
  </si>
  <si>
    <t>UnitAI</t>
    <phoneticPr fontId="4" type="noConversion"/>
  </si>
  <si>
    <t>적군 유닛명</t>
    <phoneticPr fontId="4" type="noConversion"/>
  </si>
  <si>
    <t>EnemyName</t>
    <phoneticPr fontId="4" type="noConversion"/>
  </si>
  <si>
    <t>클래스명</t>
    <phoneticPr fontId="4" type="noConversion"/>
  </si>
  <si>
    <t>ClassName</t>
    <phoneticPr fontId="4" type="noConversion"/>
  </si>
  <si>
    <t>ClassConcept</t>
    <phoneticPr fontId="4" type="noConversion"/>
  </si>
  <si>
    <t>ClassIndex</t>
    <phoneticPr fontId="4" type="noConversion"/>
  </si>
  <si>
    <t>적군 스킬 인덱스</t>
    <phoneticPr fontId="4" type="noConversion"/>
  </si>
  <si>
    <t>EnemySkillIndex</t>
    <phoneticPr fontId="4" type="noConversion"/>
  </si>
  <si>
    <t>2로 시작하는 여섯 자리 자연수로 표기, 예시) 210001</t>
    <phoneticPr fontId="4" type="noConversion"/>
  </si>
  <si>
    <t>직업 스킬 습득 레벨</t>
    <phoneticPr fontId="4" type="noConversion"/>
  </si>
  <si>
    <t>ClassSkillAcquireLevel</t>
    <phoneticPr fontId="4" type="noConversion"/>
  </si>
  <si>
    <t>WaeponSkillIndex</t>
    <phoneticPr fontId="4" type="noConversion"/>
  </si>
  <si>
    <t>WaeponSkillName</t>
    <phoneticPr fontId="4" type="noConversion"/>
  </si>
  <si>
    <t>WaeponSkillDescription</t>
    <phoneticPr fontId="4" type="noConversion"/>
  </si>
  <si>
    <t>직업명</t>
    <phoneticPr fontId="4" type="noConversion"/>
  </si>
  <si>
    <t>참조용</t>
    <phoneticPr fontId="4" type="noConversion"/>
  </si>
  <si>
    <t>사용 직업명</t>
    <phoneticPr fontId="4" type="noConversion"/>
  </si>
  <si>
    <t>무기 설명</t>
    <phoneticPr fontId="4" type="noConversion"/>
  </si>
  <si>
    <t>WaeponName</t>
    <phoneticPr fontId="4" type="noConversion"/>
  </si>
  <si>
    <t>WaeponDescription</t>
    <phoneticPr fontId="4" type="noConversion"/>
  </si>
  <si>
    <t>사용할 적군 스킬1</t>
    <phoneticPr fontId="4" type="noConversion"/>
  </si>
  <si>
    <t>사용할 적군 스킬2</t>
    <phoneticPr fontId="4" type="noConversion"/>
  </si>
  <si>
    <t>BonusSpeed</t>
    <phoneticPr fontId="4" type="noConversion"/>
  </si>
  <si>
    <t>BonusCriticalRate</t>
    <phoneticPr fontId="4" type="noConversion"/>
  </si>
  <si>
    <t>BonusCounterRate</t>
    <phoneticPr fontId="4" type="noConversion"/>
  </si>
  <si>
    <t>최대 체력 증가량</t>
    <phoneticPr fontId="4" type="noConversion"/>
  </si>
  <si>
    <t>공격력 증가량</t>
    <phoneticPr fontId="4" type="noConversion"/>
  </si>
  <si>
    <t>방어력 증가량</t>
    <phoneticPr fontId="4" type="noConversion"/>
  </si>
  <si>
    <t>치명타율 증가량</t>
    <phoneticPr fontId="4" type="noConversion"/>
  </si>
  <si>
    <t>반격율 증가량</t>
    <phoneticPr fontId="4" type="noConversion"/>
  </si>
  <si>
    <t>피해 경감 확률 증가량</t>
    <phoneticPr fontId="4" type="noConversion"/>
  </si>
  <si>
    <t>스피드 증가량</t>
    <phoneticPr fontId="4" type="noConversion"/>
  </si>
  <si>
    <t>ClassSkillIndexList</t>
    <phoneticPr fontId="4" type="noConversion"/>
  </si>
  <si>
    <t>WeaponIndexList</t>
    <phoneticPr fontId="4" type="noConversion"/>
  </si>
  <si>
    <t>사용 가능 직업 스킬</t>
    <phoneticPr fontId="4" type="noConversion"/>
  </si>
  <si>
    <t>사용 가능 무기</t>
    <phoneticPr fontId="4" type="noConversion"/>
  </si>
  <si>
    <t>ReduceRate</t>
    <phoneticPr fontId="4" type="noConversion"/>
  </si>
  <si>
    <t>적군 유닛
인덱스</t>
    <phoneticPr fontId="4" type="noConversion"/>
  </si>
  <si>
    <t>클래스 콘셉트</t>
    <phoneticPr fontId="4" type="noConversion"/>
  </si>
  <si>
    <t>피해 경감률</t>
    <phoneticPr fontId="4" type="noConversion"/>
  </si>
  <si>
    <t>{2010,2020,2030,2040,2050,2060,2070}</t>
    <phoneticPr fontId="4" type="noConversion"/>
  </si>
  <si>
    <t>{4010,4020,4030,4040,4050,4060,4070}</t>
    <phoneticPr fontId="4" type="noConversion"/>
  </si>
  <si>
    <t>착용 가능한 직업 스킬 인덱스, 중괄호{} 내 공백 없이 숫자와 쉼표로 기입, 예시) 1010,1020,1030,1040,1050,1060,1070</t>
    <phoneticPr fontId="4" type="noConversion"/>
  </si>
  <si>
    <t>착용 가능한 무기 인덱스, 중괄호{} 내 공백 없이 숫자와 쉼표로 기입, 예시) 310101,310102,310103,310104,310105,310106,310107</t>
    <phoneticPr fontId="4" type="noConversion"/>
  </si>
  <si>
    <t>{310201,310202,310203,310204,310205,310206,310207}</t>
  </si>
  <si>
    <t>{310301,310302,310303,310304,310305,310306,310307}</t>
  </si>
  <si>
    <t>{310401,310402,310403,310404,310405,310406,310407}</t>
  </si>
  <si>
    <t>적군 유닛 콘셉트</t>
    <phoneticPr fontId="4" type="noConversion"/>
  </si>
  <si>
    <t>EnemyConcept</t>
    <phoneticPr fontId="4" type="noConversion"/>
  </si>
  <si>
    <t>EnemyConcept</t>
    <phoneticPr fontId="4" type="noConversion"/>
  </si>
  <si>
    <t>EnemySkill1
Name</t>
    <phoneticPr fontId="4" type="noConversion"/>
  </si>
  <si>
    <t>EnemySkill1
Description</t>
    <phoneticPr fontId="4" type="noConversion"/>
  </si>
  <si>
    <t>적군 스킬1
설명</t>
    <phoneticPr fontId="4" type="noConversion"/>
  </si>
  <si>
    <t>상대 전열 또는 후열 단일 공격</t>
    <phoneticPr fontId="4" type="noConversion"/>
  </si>
  <si>
    <t>적군 스킬2
설명</t>
    <phoneticPr fontId="4" type="noConversion"/>
  </si>
  <si>
    <t>EnemySkill2
Name</t>
    <phoneticPr fontId="4" type="noConversion"/>
  </si>
  <si>
    <t>EnemySkill2
Description</t>
    <phoneticPr fontId="4" type="noConversion"/>
  </si>
  <si>
    <t>2. 아군/적군 캐릭터 공통 스테이터스 (인카운트 전투 시 사용)</t>
    <phoneticPr fontId="4" type="noConversion"/>
  </si>
  <si>
    <t>캐릭터 공통 스테이터스</t>
    <phoneticPr fontId="4" type="noConversion"/>
  </si>
  <si>
    <t>4. 아군 유닛</t>
    <phoneticPr fontId="4" type="noConversion"/>
  </si>
  <si>
    <t>5. 적군 유닛</t>
    <phoneticPr fontId="4" type="noConversion"/>
  </si>
  <si>
    <t>적군 유닛 행동 규칙</t>
    <phoneticPr fontId="4" type="noConversion"/>
  </si>
  <si>
    <t>적군 스킬1 스킬명</t>
    <phoneticPr fontId="4" type="noConversion"/>
  </si>
  <si>
    <t>적군 스킬2 스킬명</t>
    <phoneticPr fontId="4" type="noConversion"/>
  </si>
  <si>
    <t>적군 스킬1 스킬명</t>
    <phoneticPr fontId="4" type="noConversion"/>
  </si>
  <si>
    <t>적군 스킬2 스킬명</t>
    <phoneticPr fontId="4" type="noConversion"/>
  </si>
  <si>
    <t>적군 스킬2 스킬 공통 데이터</t>
    <phoneticPr fontId="4" type="noConversion"/>
  </si>
  <si>
    <t>적군 스킬1 스킬 공통 데이터</t>
    <phoneticPr fontId="4" type="noConversion"/>
  </si>
  <si>
    <t>3. 스킬 공통 데이터</t>
    <phoneticPr fontId="4" type="noConversion"/>
  </si>
  <si>
    <t>EnemySkill1Name</t>
    <phoneticPr fontId="4" type="noConversion"/>
  </si>
  <si>
    <t>EnemySkill1Description</t>
    <phoneticPr fontId="4" type="noConversion"/>
  </si>
  <si>
    <t>EnemySkill2Name</t>
    <phoneticPr fontId="4" type="noConversion"/>
  </si>
  <si>
    <t>적군 스킬1 설명</t>
    <phoneticPr fontId="4" type="noConversion"/>
  </si>
  <si>
    <t>적군 스킬2 설명</t>
    <phoneticPr fontId="4" type="noConversion"/>
  </si>
  <si>
    <t>7. 무기</t>
    <phoneticPr fontId="4" type="noConversion"/>
  </si>
  <si>
    <t>직업 스킬 스킬 공통 데이터</t>
    <phoneticPr fontId="4" type="noConversion"/>
  </si>
  <si>
    <t>무기 스킬 스킬 공통 데이터</t>
    <phoneticPr fontId="4" type="noConversion"/>
  </si>
  <si>
    <t>스킬 사정거리</t>
    <phoneticPr fontId="4" type="noConversion"/>
  </si>
  <si>
    <t>SkillRange</t>
    <phoneticPr fontId="4" type="noConversion"/>
  </si>
  <si>
    <t>SkillEffect</t>
    <phoneticPr fontId="4" type="noConversion"/>
  </si>
  <si>
    <t>스킬 대상</t>
    <phoneticPr fontId="4" type="noConversion"/>
  </si>
  <si>
    <t>SkillTarget</t>
    <phoneticPr fontId="4" type="noConversion"/>
  </si>
  <si>
    <t>WeaponSkillDescription</t>
    <phoneticPr fontId="4" type="noConversion"/>
  </si>
  <si>
    <t>WeaponSkillEffect</t>
    <phoneticPr fontId="4" type="noConversion"/>
  </si>
  <si>
    <t>WeaponSkillRange</t>
    <phoneticPr fontId="4" type="noConversion"/>
  </si>
  <si>
    <t>WeaponSkillTarget</t>
    <phoneticPr fontId="4" type="noConversion"/>
  </si>
  <si>
    <t>무기 스킬 사정거리
(0 근거리 1 원거리)</t>
    <phoneticPr fontId="4" type="noConversion"/>
  </si>
  <si>
    <t>무기 스킬 대상
(0 단일 1 복수 2 전체)</t>
    <phoneticPr fontId="4" type="noConversion"/>
  </si>
  <si>
    <t>직업 스킬 대상
(0 단일 1 복수 2 전체)</t>
    <phoneticPr fontId="4" type="noConversion"/>
  </si>
  <si>
    <t>직업 스킬 사정거리
(0 근거리 1 원거리)</t>
    <phoneticPr fontId="4" type="noConversion"/>
  </si>
  <si>
    <t>ClassSkillEffect</t>
    <phoneticPr fontId="4" type="noConversion"/>
  </si>
  <si>
    <t>ClassSkillRange</t>
    <phoneticPr fontId="4" type="noConversion"/>
  </si>
  <si>
    <t>ClassSkillTarget</t>
    <phoneticPr fontId="4" type="noConversion"/>
  </si>
  <si>
    <t>적군 스킬 1 사정거리
(0 근거리 1 원거리)</t>
    <phoneticPr fontId="4" type="noConversion"/>
  </si>
  <si>
    <t>적군 스킬 1 대상
(0 단일 1 복수 2 전체)</t>
    <phoneticPr fontId="4" type="noConversion"/>
  </si>
  <si>
    <t>적군 스킬 2 대상
(0 단일 1 복수 2 전체)</t>
    <phoneticPr fontId="4" type="noConversion"/>
  </si>
  <si>
    <t>적군 스킬 2 계수</t>
    <phoneticPr fontId="4" type="noConversion"/>
  </si>
  <si>
    <t>적군 스킬 1 계수</t>
    <phoneticPr fontId="4" type="noConversion"/>
  </si>
  <si>
    <t>EnemySkill1Effect</t>
    <phoneticPr fontId="4" type="noConversion"/>
  </si>
  <si>
    <t>EnemySkill1Range</t>
    <phoneticPr fontId="4" type="noConversion"/>
  </si>
  <si>
    <t>EnemySkill1Target</t>
    <phoneticPr fontId="4" type="noConversion"/>
  </si>
  <si>
    <t>EnemySkill1Value</t>
    <phoneticPr fontId="4" type="noConversion"/>
  </si>
  <si>
    <t>EnemySkill2Effect</t>
    <phoneticPr fontId="4" type="noConversion"/>
  </si>
  <si>
    <t>EnemySkill2Range</t>
    <phoneticPr fontId="4" type="noConversion"/>
  </si>
  <si>
    <t>EnemySkill2Target</t>
    <phoneticPr fontId="4" type="noConversion"/>
  </si>
  <si>
    <t>EnemySkill2Value</t>
    <phoneticPr fontId="4" type="noConversion"/>
  </si>
  <si>
    <t>BonusReduceRate</t>
    <phoneticPr fontId="4" type="noConversion"/>
  </si>
  <si>
    <t>0 단일 대상 1 복수 대상(한 열, 2인 등) 2 전체 대상
0일 경우, 스킬 대상 1명을 고른다
1일 경우, 범위는 스킬 설명에 따라 선택한다
2일 경우, 대상 선택 없이 바로 실행한다</t>
    <phoneticPr fontId="4" type="noConversion"/>
  </si>
  <si>
    <t>성장 시스템 및 테이블 필드 정의</t>
    <phoneticPr fontId="4" type="noConversion"/>
  </si>
  <si>
    <t>V1.2</t>
    <phoneticPr fontId="4" type="noConversion"/>
  </si>
  <si>
    <t>기본 제공 무기</t>
    <phoneticPr fontId="4" type="noConversion"/>
  </si>
  <si>
    <t>최상급 무기</t>
    <phoneticPr fontId="4" type="noConversion"/>
  </si>
  <si>
    <t>전열 특화 무기</t>
    <phoneticPr fontId="4" type="noConversion"/>
  </si>
  <si>
    <t>후열 특화 무기</t>
    <phoneticPr fontId="4" type="noConversion"/>
  </si>
  <si>
    <t>공격 특화 무기</t>
    <phoneticPr fontId="4" type="noConversion"/>
  </si>
  <si>
    <t>강타</t>
    <phoneticPr fontId="4" type="noConversion"/>
  </si>
  <si>
    <t>숏보우</t>
    <phoneticPr fontId="4" type="noConversion"/>
  </si>
  <si>
    <t>더블 클로</t>
    <phoneticPr fontId="4" type="noConversion"/>
  </si>
  <si>
    <t>신성한 주먹</t>
    <phoneticPr fontId="4" type="noConversion"/>
  </si>
  <si>
    <t>회전 베기</t>
    <phoneticPr fontId="4" type="noConversion"/>
  </si>
  <si>
    <t>매직 미사일</t>
    <phoneticPr fontId="4" type="noConversion"/>
  </si>
  <si>
    <t>성광</t>
    <phoneticPr fontId="4" type="noConversion"/>
  </si>
  <si>
    <t>성스러운 일격</t>
    <phoneticPr fontId="4" type="noConversion"/>
  </si>
  <si>
    <t>정밀 조준</t>
    <phoneticPr fontId="4" type="noConversion"/>
  </si>
  <si>
    <t>속사</t>
    <phoneticPr fontId="4" type="noConversion"/>
  </si>
  <si>
    <t>마력 방출</t>
    <phoneticPr fontId="4" type="noConversion"/>
  </si>
  <si>
    <t>착용 무기</t>
    <phoneticPr fontId="4" type="noConversion"/>
  </si>
  <si>
    <t>착용 무기 스킬</t>
    <phoneticPr fontId="4" type="noConversion"/>
  </si>
  <si>
    <t>파티 멤버</t>
    <phoneticPr fontId="4" type="noConversion"/>
  </si>
  <si>
    <t>사용 가능 스킬1</t>
    <phoneticPr fontId="4" type="noConversion"/>
  </si>
  <si>
    <t>사용 가능 스킬2</t>
    <phoneticPr fontId="4" type="noConversion"/>
  </si>
  <si>
    <t>일렬 베기</t>
    <phoneticPr fontId="4" type="noConversion"/>
  </si>
  <si>
    <t>현재 클래스</t>
    <phoneticPr fontId="4" type="noConversion"/>
  </si>
  <si>
    <t>사용 가능 스킬3</t>
  </si>
  <si>
    <t>사용 가능 스킬4</t>
  </si>
  <si>
    <t>사용 가능 스킬5</t>
  </si>
  <si>
    <t>사용 가능 스킬6</t>
  </si>
  <si>
    <t>사용 가능 스킬7</t>
  </si>
  <si>
    <t>정밀 사격</t>
  </si>
  <si>
    <t>착용 가능 무기1</t>
    <phoneticPr fontId="4" type="noConversion"/>
  </si>
  <si>
    <t>착용 가능 무기2</t>
    <phoneticPr fontId="4" type="noConversion"/>
  </si>
  <si>
    <t>착용 가능 무기3</t>
    <phoneticPr fontId="4" type="noConversion"/>
  </si>
  <si>
    <t>착용 직업 스킬</t>
    <phoneticPr fontId="4" type="noConversion"/>
  </si>
  <si>
    <t>착용 직업 스킬 설명</t>
    <phoneticPr fontId="4" type="noConversion"/>
  </si>
  <si>
    <t>착용 무기 스킬 설명</t>
    <phoneticPr fontId="4" type="noConversion"/>
  </si>
  <si>
    <t>무기 추가 스테이터스</t>
    <phoneticPr fontId="4" type="noConversion"/>
  </si>
  <si>
    <t>무기 및 무기 스킬 콘텐츠</t>
    <phoneticPr fontId="4" type="noConversion"/>
  </si>
  <si>
    <t>V1.3</t>
    <phoneticPr fontId="4" type="noConversion"/>
  </si>
  <si>
    <t>경험치</t>
    <phoneticPr fontId="4" type="noConversion"/>
  </si>
  <si>
    <t>ExperiencePoint</t>
    <phoneticPr fontId="4" type="noConversion"/>
  </si>
  <si>
    <t>드롭 아이템 1 인덱스</t>
    <phoneticPr fontId="4" type="noConversion"/>
  </si>
  <si>
    <t>드롭 아이템 1 드롭 수량</t>
    <phoneticPr fontId="4" type="noConversion"/>
  </si>
  <si>
    <t>드롭 아이템 1 드롭 확률</t>
    <phoneticPr fontId="4" type="noConversion"/>
  </si>
  <si>
    <t>DropItem1Index</t>
    <phoneticPr fontId="4" type="noConversion"/>
  </si>
  <si>
    <t>DropItem1Count</t>
    <phoneticPr fontId="4" type="noConversion"/>
  </si>
  <si>
    <t>DropItem1Rate</t>
    <phoneticPr fontId="4" type="noConversion"/>
  </si>
  <si>
    <t>n % 단위로 표기</t>
    <phoneticPr fontId="4" type="noConversion"/>
  </si>
  <si>
    <t>n % 단위로 표기, 70% ≥ CriticalRate</t>
    <phoneticPr fontId="4" type="noConversion"/>
  </si>
  <si>
    <t>n % 단위로 표기, 70% ≥ CounterRate</t>
    <phoneticPr fontId="4" type="noConversion"/>
  </si>
  <si>
    <t>n % 단위로 표기, 70% ≥ ReduceRate</t>
    <phoneticPr fontId="4" type="noConversion"/>
  </si>
  <si>
    <t>프로토 타입 단계에서는 드롭 수량 고정, 아이템 시스템 확정 후 일반/소비 아이템이 추가될 경우 랜덤 수량으로 확장 가능</t>
    <phoneticPr fontId="4" type="noConversion"/>
  </si>
  <si>
    <t>무기 등 적군 유닛이 드롭하는 아이템 인덱스 리스트, 예시) {310101,310201,310301,310401} (균등 확률로 랜덤 드롭)
프로토 타입에서는 리스트는 1개로 제한, 아이템 시스템 확정 후 드롭 리스트 최대 2개까지 확장 가능</t>
    <phoneticPr fontId="4" type="noConversion"/>
  </si>
  <si>
    <t>스킬 복수 대상</t>
    <phoneticPr fontId="4" type="noConversion"/>
  </si>
  <si>
    <t>SkillMultiTarget</t>
    <phoneticPr fontId="4" type="noConversion"/>
  </si>
  <si>
    <t>타깃(0)</t>
    <phoneticPr fontId="4" type="noConversion"/>
  </si>
  <si>
    <t>SkillMultiTargetType</t>
    <phoneticPr fontId="4" type="noConversion"/>
  </si>
  <si>
    <t>스킬 복수 대상 타입</t>
    <phoneticPr fontId="4" type="noConversion"/>
  </si>
  <si>
    <t>int</t>
    <phoneticPr fontId="4" type="noConversion"/>
  </si>
  <si>
    <t>SkillMultiTargetCount</t>
    <phoneticPr fontId="4" type="noConversion"/>
  </si>
  <si>
    <t>1. 복수 스킬 타깃 판정용 필드 추가: 스킬 복수 대상, 스킬 복수 대상 타입, 스킬 복수 대상 수
2. 적군 유닛 시트 및 필드 정의 추가: 경험치, 드롭 아이템 인덱스, 드롭 수량, 드롭 확률</t>
    <phoneticPr fontId="4" type="noConversion"/>
  </si>
  <si>
    <t>스킬 대상(SkillTarget)이 1인 경우 사용
서로 다른 계수를 가진 복수 범위 스킬, 여러 번 공격하는 스킬 등에 사용</t>
    <phoneticPr fontId="4" type="noConversion"/>
  </si>
  <si>
    <t>스킬 복수 대상 타입(SkillMultiTargetType)이 1인 경우 사용</t>
    <phoneticPr fontId="4" type="noConversion"/>
  </si>
  <si>
    <t>스킬 대상(SkillTarget)이 1인 경우 사용
0 추가 타깃 후보 전체 적용
1 추가 타깃 후보 중 n명 랜덤 선택</t>
    <phoneticPr fontId="4" type="noConversion"/>
  </si>
  <si>
    <t>스킬 복수 추가 대상 수</t>
    <phoneticPr fontId="4" type="noConversion"/>
  </si>
  <si>
    <t>{1,3,5}</t>
    <phoneticPr fontId="4" type="noConversion"/>
  </si>
  <si>
    <t>ClassSkillMultiTarget</t>
    <phoneticPr fontId="4" type="noConversion"/>
  </si>
  <si>
    <t>ClassSkill
MultiTargetType</t>
    <phoneticPr fontId="4" type="noConversion"/>
  </si>
  <si>
    <t>ClassSkill
MultiTargetCount</t>
    <phoneticPr fontId="4" type="noConversion"/>
  </si>
  <si>
    <t>직업 스킬 복수 대상
(스킬 대상 1일 경우)</t>
    <phoneticPr fontId="4" type="noConversion"/>
  </si>
  <si>
    <t>직업 스킬 
복수 추가 대상 수
(스킬 대상 1일 경우)</t>
    <phoneticPr fontId="4" type="noConversion"/>
  </si>
  <si>
    <t>{3}</t>
    <phoneticPr fontId="4" type="noConversion"/>
  </si>
  <si>
    <t>직업 스킬 
복수 대상 타입
(0 후보 전체 1 랜덤)
(스킬 대상 1일 경우)</t>
    <phoneticPr fontId="4" type="noConversion"/>
  </si>
  <si>
    <t>WeaponSkillMultiTarget</t>
    <phoneticPr fontId="4" type="noConversion"/>
  </si>
  <si>
    <t>WeaponSkill
MultiTargetType</t>
    <phoneticPr fontId="4" type="noConversion"/>
  </si>
  <si>
    <t>WeaponSkill
MultiTargetCount</t>
    <phoneticPr fontId="4" type="noConversion"/>
  </si>
  <si>
    <t>무기 스킬 복수 대상
(스킬 대상 1일 경우)</t>
    <phoneticPr fontId="4" type="noConversion"/>
  </si>
  <si>
    <t>무기 스킬 
복수 대상 타입
(0 후보 전체 1 랜덤)
(스킬 대상 1일 경우)</t>
    <phoneticPr fontId="4" type="noConversion"/>
  </si>
  <si>
    <t>무기 스킬 
복수 추가 대상 수
(스킬 대상 1일 경우)</t>
    <phoneticPr fontId="4" type="noConversion"/>
  </si>
  <si>
    <t>EnemySkill1MultiTarget</t>
    <phoneticPr fontId="4" type="noConversion"/>
  </si>
  <si>
    <t>EnemySkill1
MultiTargetType</t>
    <phoneticPr fontId="4" type="noConversion"/>
  </si>
  <si>
    <t>EnemySkill1
MultiTargetCount</t>
    <phoneticPr fontId="4" type="noConversion"/>
  </si>
  <si>
    <t>EnemySkill2MultiTarget</t>
    <phoneticPr fontId="4" type="noConversion"/>
  </si>
  <si>
    <t>EnemySkill2
MultiTargetType</t>
    <phoneticPr fontId="4" type="noConversion"/>
  </si>
  <si>
    <t>EnemySkill2
MultiTargetCount</t>
    <phoneticPr fontId="4" type="noConversion"/>
  </si>
  <si>
    <t>적군 스킬 1 복수 대상
(스킬 대상 1일 경우)</t>
    <phoneticPr fontId="4" type="noConversion"/>
  </si>
  <si>
    <t>적군 스킬 1
복수 대상 타입
(0 후보 전체 1 랜덤)
(스킬 대상 1일 경우)</t>
    <phoneticPr fontId="4" type="noConversion"/>
  </si>
  <si>
    <t>적군 스킬 1
복수 추가 대상 수
(스킬 대상 1일 경우)</t>
    <phoneticPr fontId="4" type="noConversion"/>
  </si>
  <si>
    <t>적군 스킬 2 복수 대상
(스킬 대상 1일 경우)</t>
    <phoneticPr fontId="4" type="noConversion"/>
  </si>
  <si>
    <t>적군 스킬 2
복수 대상 타입
(0 후보 전체 1 랜덤)
(스킬 대상 1일 경우)</t>
    <phoneticPr fontId="4" type="noConversion"/>
  </si>
  <si>
    <t>적군 스킬 2
복수 추가 대상 수
(스킬 대상 1일 경우)</t>
    <phoneticPr fontId="4" type="noConversion"/>
  </si>
  <si>
    <t>상대 전열 또는 후열 단일 공격 (전열 우선)</t>
    <phoneticPr fontId="4" type="noConversion"/>
  </si>
  <si>
    <t>상대 1열을 전체 공격 (전열 우선)</t>
    <phoneticPr fontId="4" type="noConversion"/>
  </si>
  <si>
    <t>V2.0</t>
    <phoneticPr fontId="4" type="noConversion"/>
  </si>
  <si>
    <t>1. 유닛 단위 정의</t>
    <phoneticPr fontId="4" type="noConversion"/>
  </si>
  <si>
    <t>1) 유닛</t>
    <phoneticPr fontId="4" type="noConversion"/>
  </si>
  <si>
    <t>2. 단위별 스테이터스</t>
    <phoneticPr fontId="4" type="noConversion"/>
  </si>
  <si>
    <t>범례</t>
    <phoneticPr fontId="4" type="noConversion"/>
  </si>
  <si>
    <t>타 시트에서 가져오는 값</t>
    <phoneticPr fontId="4" type="noConversion"/>
  </si>
  <si>
    <t>이 시트에서 계산되는 값</t>
    <phoneticPr fontId="4" type="noConversion"/>
  </si>
  <si>
    <t>이 시트에서 바꾸는 값</t>
    <phoneticPr fontId="4" type="noConversion"/>
  </si>
  <si>
    <t>고정치</t>
    <phoneticPr fontId="4" type="noConversion"/>
  </si>
  <si>
    <t>캐릭터  최종 스테이터스</t>
    <phoneticPr fontId="4" type="noConversion"/>
  </si>
  <si>
    <t>5. 최종 스테이터스</t>
    <phoneticPr fontId="4" type="noConversion"/>
  </si>
  <si>
    <t>방어력</t>
    <phoneticPr fontId="4" type="noConversion"/>
  </si>
  <si>
    <t>1. 유닛 수 추가 → 단계별 스테이터스 정의
2. 스탯 시뮬레이터 재생성</t>
    <phoneticPr fontId="4" type="noConversion"/>
  </si>
  <si>
    <t>V2.1</t>
    <phoneticPr fontId="4" type="noConversion"/>
  </si>
  <si>
    <t>3. 성장 시스템 수정 (유닛/유닛 그룹 분화 반영)
4. 적군 유닛 → 적군 유닛 그룹 개편
5. 1:1 전투 시뮬레이터</t>
    <phoneticPr fontId="4" type="noConversion"/>
  </si>
  <si>
    <t>최종 스테이터스</t>
    <phoneticPr fontId="4" type="noConversion"/>
  </si>
  <si>
    <t>최종 공격력</t>
    <phoneticPr fontId="4" type="noConversion"/>
  </si>
  <si>
    <t>최종 방어력</t>
    <phoneticPr fontId="4" type="noConversion"/>
  </si>
  <si>
    <t>최종 체력</t>
    <phoneticPr fontId="4" type="noConversion"/>
  </si>
  <si>
    <t>최종 반격율
(미사용)</t>
    <phoneticPr fontId="4" type="noConversion"/>
  </si>
  <si>
    <t>최종 치명타율
(미사용)</t>
    <phoneticPr fontId="4" type="noConversion"/>
  </si>
  <si>
    <t>최종 회피율
(미사용)</t>
    <phoneticPr fontId="4" type="noConversion"/>
  </si>
  <si>
    <t>스킬 계수</t>
    <phoneticPr fontId="4" type="noConversion"/>
  </si>
  <si>
    <t>{5010,5020,5030,5040,5050,5060,5070}</t>
    <phoneticPr fontId="4" type="noConversion"/>
  </si>
  <si>
    <t>{310501,310502,310503,310504,310505,310506,310507}</t>
    <phoneticPr fontId="4" type="noConversion"/>
  </si>
  <si>
    <t>기합</t>
  </si>
  <si>
    <t>정면 베기</t>
    <phoneticPr fontId="4" type="noConversion"/>
  </si>
  <si>
    <t>급소 찌르기</t>
    <phoneticPr fontId="4" type="noConversion"/>
  </si>
  <si>
    <t>후열 돌파</t>
    <phoneticPr fontId="4" type="noConversion"/>
  </si>
  <si>
    <t>연속 베기</t>
    <phoneticPr fontId="4" type="noConversion"/>
  </si>
  <si>
    <t>결투</t>
    <phoneticPr fontId="4" type="noConversion"/>
  </si>
  <si>
    <t>전술 베기</t>
    <phoneticPr fontId="4" type="noConversion"/>
  </si>
  <si>
    <t>강습</t>
    <phoneticPr fontId="4" type="noConversion"/>
  </si>
  <si>
    <t>베어가르기</t>
    <phoneticPr fontId="4" type="noConversion"/>
  </si>
  <si>
    <t>{0}</t>
    <phoneticPr fontId="4" type="noConversion"/>
  </si>
  <si>
    <t>환영 공격</t>
    <phoneticPr fontId="4" type="noConversion"/>
  </si>
  <si>
    <t>기본 대미지 최소치</t>
    <phoneticPr fontId="4" type="noConversion"/>
  </si>
  <si>
    <t>V3.1</t>
    <phoneticPr fontId="4" type="noConversion"/>
  </si>
  <si>
    <t>EnemyArmyIndex</t>
    <phoneticPr fontId="4" type="noConversion"/>
  </si>
  <si>
    <t>3로 시작하는 다섯 자리 자연수로 표기, 예시) 30001</t>
    <phoneticPr fontId="4" type="noConversion"/>
  </si>
  <si>
    <t>V4.0</t>
    <phoneticPr fontId="4" type="noConversion"/>
  </si>
  <si>
    <t>유닛 체력</t>
    <phoneticPr fontId="4" type="noConversion"/>
  </si>
  <si>
    <t>유닛 공격력</t>
    <phoneticPr fontId="4" type="noConversion"/>
  </si>
  <si>
    <t>유닛 방어력</t>
    <phoneticPr fontId="4" type="noConversion"/>
  </si>
  <si>
    <t>유닛이 생존하기 위해 지닌 체력</t>
    <phoneticPr fontId="4" type="noConversion"/>
  </si>
  <si>
    <t>유닛이 지닌 공격력, 유닛 대미지 계산에 사용된다</t>
    <phoneticPr fontId="4" type="noConversion"/>
  </si>
  <si>
    <t>유닛이 지닌 방어력, 유닛 대미지 계산에 사용된다</t>
    <phoneticPr fontId="4" type="noConversion"/>
  </si>
  <si>
    <t>유닛 랭크</t>
    <phoneticPr fontId="4" type="noConversion"/>
  </si>
  <si>
    <t>* 유닛 최대 체력 &gt; 0
* 유닛 최대 체력 &gt; 유닛 현재 체력
* 유닛 현재 체력이 0일 경우 리타이어 상태 전환</t>
    <phoneticPr fontId="4" type="noConversion"/>
  </si>
  <si>
    <t>《Hero Influence》 전투 데이터 테이블</t>
    <phoneticPr fontId="4" type="noConversion"/>
  </si>
  <si>
    <t>유닛이 공격했을 때, 치명타가 발생할 확률</t>
    <phoneticPr fontId="4" type="noConversion"/>
  </si>
  <si>
    <t>전열 유닛이 공격을 받았을 때 반격할 확률</t>
    <phoneticPr fontId="4" type="noConversion"/>
  </si>
  <si>
    <t>후열 유닛이 공격을 받았을 때 대미지를 경감시킬 확률</t>
    <phoneticPr fontId="4" type="noConversion"/>
  </si>
  <si>
    <t>전투 시 유닛의 행동 순서를 1차적으로 정하기 위한 기준값</t>
    <phoneticPr fontId="4" type="noConversion"/>
  </si>
  <si>
    <t>2. 문서 기획 의도</t>
    <phoneticPr fontId="4" type="noConversion"/>
  </si>
  <si>
    <t>3. 문서 범위</t>
    <phoneticPr fontId="4" type="noConversion"/>
  </si>
  <si>
    <t>4. 문서 대상</t>
    <phoneticPr fontId="4" type="noConversion"/>
  </si>
  <si>
    <t>3. 유닛 랭크업 추가 스테이터스</t>
    <phoneticPr fontId="4" type="noConversion"/>
  </si>
  <si>
    <t>유닛당 랭크업
필요 경험치</t>
    <phoneticPr fontId="4" type="noConversion"/>
  </si>
  <si>
    <t>S</t>
    <phoneticPr fontId="4" type="noConversion"/>
  </si>
  <si>
    <t>A</t>
    <phoneticPr fontId="4" type="noConversion"/>
  </si>
  <si>
    <t>B</t>
    <phoneticPr fontId="4" type="noConversion"/>
  </si>
  <si>
    <t>C</t>
    <phoneticPr fontId="4" type="noConversion"/>
  </si>
  <si>
    <t>D</t>
    <phoneticPr fontId="4" type="noConversion"/>
  </si>
  <si>
    <t>F</t>
    <phoneticPr fontId="4" type="noConversion"/>
  </si>
  <si>
    <t>2. 랭크업 스테이터스 증가 규칙</t>
    <phoneticPr fontId="4" type="noConversion"/>
  </si>
  <si>
    <t>유닛 최대 체력</t>
    <phoneticPr fontId="4" type="noConversion"/>
  </si>
  <si>
    <t>최대 호감도</t>
    <phoneticPr fontId="4" type="noConversion"/>
  </si>
  <si>
    <t>랭크</t>
    <phoneticPr fontId="4" type="noConversion"/>
  </si>
  <si>
    <t>현재 랭크</t>
    <phoneticPr fontId="4" type="noConversion"/>
  </si>
  <si>
    <t>랭크 표시</t>
    <phoneticPr fontId="4" type="noConversion"/>
  </si>
  <si>
    <t>힐</t>
  </si>
  <si>
    <t>UnitDEF</t>
    <phoneticPr fontId="4" type="noConversion"/>
  </si>
  <si>
    <t>UnitATK</t>
    <phoneticPr fontId="4" type="noConversion"/>
  </si>
  <si>
    <t>UnitMaxHP</t>
    <phoneticPr fontId="4" type="noConversion"/>
  </si>
  <si>
    <t>UnitMaxHP &gt; 0</t>
    <phoneticPr fontId="4" type="noConversion"/>
  </si>
  <si>
    <t>999 &gt; UnitATK &gt; 0</t>
    <phoneticPr fontId="4" type="noConversion"/>
  </si>
  <si>
    <t>999 &gt; UnitDEF &gt; 0</t>
    <phoneticPr fontId="4" type="noConversion"/>
  </si>
  <si>
    <t>기본 보정치</t>
    <phoneticPr fontId="4" type="noConversion"/>
  </si>
  <si>
    <t>클래스별
추가 보정치</t>
    <phoneticPr fontId="4" type="noConversion"/>
  </si>
  <si>
    <t>1. 아군 유닛 스테이터스</t>
  </si>
  <si>
    <t>2. 유닛 레벨업 스테이터스</t>
  </si>
  <si>
    <t>3. 유닛 무기 스테이터스</t>
  </si>
  <si>
    <t>4. 유닛 스킬</t>
  </si>
  <si>
    <t>유닛 레벨</t>
  </si>
  <si>
    <t>파이어볼</t>
  </si>
  <si>
    <t>유닛명</t>
    <phoneticPr fontId="4" type="noConversion"/>
  </si>
  <si>
    <t>유닛 레벨</t>
    <phoneticPr fontId="4" type="noConversion"/>
  </si>
  <si>
    <t>2. 대미지 계산 공식</t>
    <phoneticPr fontId="4" type="noConversion"/>
  </si>
  <si>
    <t>최종 스피드
(미사용)</t>
    <phoneticPr fontId="4" type="noConversion"/>
  </si>
  <si>
    <t>int</t>
    <phoneticPr fontId="4" type="noConversion"/>
  </si>
  <si>
    <t>IPCost</t>
    <phoneticPr fontId="4" type="noConversion"/>
  </si>
  <si>
    <t>IP 코스트</t>
    <phoneticPr fontId="4" type="noConversion"/>
  </si>
  <si>
    <t>스킬 사용에 필요한 IP 량</t>
    <phoneticPr fontId="4" type="noConversion"/>
  </si>
  <si>
    <t>HeroType</t>
    <phoneticPr fontId="4" type="noConversion"/>
  </si>
  <si>
    <t>히어로 유형, 예시) 인간, 사이보그, 수인 등</t>
    <phoneticPr fontId="4" type="noConversion"/>
  </si>
  <si>
    <t>히어로 이름</t>
    <phoneticPr fontId="4" type="noConversion"/>
  </si>
  <si>
    <t>IP 코스트</t>
    <phoneticPr fontId="4" type="noConversion"/>
  </si>
  <si>
    <t>V4.1</t>
    <phoneticPr fontId="4" type="noConversion"/>
  </si>
  <si>
    <t>스킬 코스트 추가</t>
    <phoneticPr fontId="4" type="noConversion"/>
  </si>
  <si>
    <t>아군 1명 체력 30% 회복, IP 10 고정 회복</t>
    <phoneticPr fontId="4" type="noConversion"/>
  </si>
  <si>
    <t>아군 1명의 체력을 회복한다. (기본 5 + 최대 체력 대비 현재 체력 20%가 낮아질 때마다 15 추가, 최대 50)</t>
    <phoneticPr fontId="4" type="noConversion"/>
  </si>
  <si>
    <t>아군 1명의 체력을 10% 회복하고, 인접한 아군 1명의 체력을 10% 추가 회복한다.</t>
    <phoneticPr fontId="4" type="noConversion"/>
  </si>
  <si>
    <t>V4.2</t>
    <phoneticPr fontId="4" type="noConversion"/>
  </si>
  <si>
    <t>스킬 사정거리 라인</t>
    <phoneticPr fontId="4" type="noConversion"/>
  </si>
  <si>
    <t>SkillRangeLine</t>
    <phoneticPr fontId="4" type="noConversion"/>
  </si>
  <si>
    <t>0 근거리 스킬 1 원거리 스킬</t>
    <phoneticPr fontId="4" type="noConversion"/>
  </si>
  <si>
    <t>적군 스킬 2 사정거리
(0 근거리 1 원거리)</t>
    <phoneticPr fontId="4" type="noConversion"/>
  </si>
  <si>
    <t>WeaponSkillRangeLine</t>
    <phoneticPr fontId="4" type="noConversion"/>
  </si>
  <si>
    <t>ClassSkillRangeLine</t>
    <phoneticPr fontId="4" type="noConversion"/>
  </si>
  <si>
    <t xml:space="preserve">직업 스킬
사정거리 라인
0 전열 우선 (적 전열이 있을 경우 전열 공격) 
1 전열/후열 선택 가능
2 후열 우선 </t>
    <phoneticPr fontId="4" type="noConversion"/>
  </si>
  <si>
    <t>무기 스킬
사정거리 라인
0 전열 우선 (적 전열이 있을 경우 전열 공격) 
1 전열/후열 선택 가능 
2 후열 우선</t>
    <phoneticPr fontId="4" type="noConversion"/>
  </si>
  <si>
    <t>EnemySkill1RangeLine</t>
    <phoneticPr fontId="4" type="noConversion"/>
  </si>
  <si>
    <t>EnemySkill2RangeLine</t>
    <phoneticPr fontId="4" type="noConversion"/>
  </si>
  <si>
    <t>적군 스킬 2
사정거리 라인
0 전열 우선 (전열이 있을 경우 전열 공격) 
1 전열/후열 선택 가능
2 후열 우선</t>
    <phoneticPr fontId="4" type="noConversion"/>
  </si>
  <si>
    <t>적군 스킬 1
사정거리 라인
0 전열 우선 (전열이 있을 경우 전열 공격) 
1 전열/후열 선택 가능
2 후열 우선</t>
    <phoneticPr fontId="4" type="noConversion"/>
  </si>
  <si>
    <t>스킬 사정거리 라인 추가</t>
    <phoneticPr fontId="4" type="noConversion"/>
  </si>
  <si>
    <t>0 전열 우선 (전열이 있을 경우 전열 공격) 1 전열/후열 선택 가능 2 후열 우선 (추후 확장 시, 3 전열만 4 후열만)</t>
    <phoneticPr fontId="4" type="noConversion"/>
  </si>
  <si>
    <t>유닛이 경험치를 통해 올릴 수 있는 등급
A-Z 사이 대문자 알파벳으로 표시한다.
유닛이 다음 랭크에 도달할 때마다 다음 중 일부 효과가 적용된다. (구체적인 성장 공식 및 랭크별 받는 효과는 성장 시스템 시트 참조)
1. 일부 유닛 스테이터스(최대 체력, 공격력, 방어력)에 랭크업 보정치를 추가
2. 특정 랭크에 신규 직업 스킬 습득
3. 특정 랭크마다 유닛 최대 I.P 증가</t>
  </si>
  <si>
    <t>매 랭크 업 시, 유닛 스테이터스 증가
Lv1 직업 스킬 (기본 스킬)
Lv2 최대 I.P 증가
Lv3 직업 스킬
Lv4 최대 I.P 증가
Lv5 직업 스킬
Lv6 최대 I.P 증가
Lv7 직업 스킬
Lv8 최대 I.P 증가
Lv9 최대 I.P 증가
Lv10 직업 스킬
Lv11 최대 I.P 증가
Lv12 직업 스킬
Lv13 최대 I.P 증가
Lv14 최대 I.P 증가
Lv15 직업 스킬</t>
  </si>
  <si>
    <t>* 기본 피해량 = (공격 유닛 공격력 - 피격 유닛 방어력) × 스킬 계수 × 유닛 I.P 보정</t>
  </si>
  <si>
    <t>유닛 I.P</t>
  </si>
  <si>
    <t xml:space="preserve"> I.P(Influence)는 각 유닛이 보유하는 전투 자원으로, 시민의 지지를 통해 형성된 전투력의 크기를 나타낸다.
 호감도는 유닛 단위로 개별 관리되며, 전투 및 탐사 과정에서 증가하거나 감소한다. 현재 호감도는 해당 유닛의 전투 성능에 직접적으로 영향을 주며, 스킬 계수에 반영된다.</t>
  </si>
  <si>
    <t>* 유닛 최대 호감도 &gt; 유닛 현재 호감도
* 기본 유닛 호감도 100(현재)/200(최대)
* 호감도 계수 = 현재 호감도 / 100
  예시) 기본 I.P 100일 때 호감도 보정 100%
  0일 때 호감도 보정 0%, 200일 때 호감도 보정 200%
* 유닛 현재 호감도가 0일 경우, 호감도 소모 스킬 사용 불가</t>
  </si>
  <si>
    <t xml:space="preserve">  1) 랭크업을 해도 수치가 변하지 않는 스테이터스는 다음과 같다.
  - 치명타율
  - 반격률
  - 피해 경감율
  - 스피드
  (상기 스테이터스는 랭크업으로는 증가하지 않으며, 장비 착용, 진형 효과, 스킬 효과 등으로만 변동)
 2) 랭크업에 따라 수치가 증가하는 스테이터스는 다음과 같다.
  - 유닛 최대 체력
  - 유닛 공격력
  - 유닛 방어력
 3) 유닛 랭크업 시, 유닛의 현재 체력은 최대 체력으로 회복된다.
 4) 지정된 랭크 달성 직후, 최대 I.P가 증가한다. (오르는 랭크 시점 및 양은 전투 경험치 테이블 참조)
 5) 유닛 시민 현재 호감도는  증가하지 않으며, 기존 수치를 그대로 유지한다.</t>
  </si>
  <si>
    <t xml:space="preserve">최대 I.P 추가 </t>
  </si>
  <si>
    <t>최대 I.P</t>
  </si>
  <si>
    <t>적 파티 AI 시트 추가</t>
  </si>
  <si>
    <t>I.P 시스템 추가 및 이에 따른 아군 유닛 스테이터스 구조 변경
1) 유닛-유닛그룹-파티 → 유닛-파티 구조 복귀
2) 성장 시스템 개편
3) 아군 유닛, 적군 유닛, 스탯 시뮬레이터, 전투 시뮬레이터 반영 및 기초 밸런스
4) 적군 파티 AI 간략화</t>
  </si>
  <si>
    <t>유닛(Unit)은
전투에서 직접 행동하는 최소 단위이며
(V2.0-3.0의 유닛-유닛 그룹-파티 구조에서 V1.0의 유닛-파티 구조로 복귀한다),
각 유닛은 랭크(기존 레벨 개념)에 따라 성장하는 독립적인 스테이터스(체력, 공격력, 방어력, 치명타율, 반격률, 피해 경감률, 스피드)와 호감도(기존 유닛수 대체)를 가진다.
유닛은 클래스에 따라 외형 및 보유 스킬, 역할이 구분된다.</t>
  </si>
  <si>
    <t>2) 파티</t>
  </si>
  <si>
    <t>파티는 2×3 슬롯으로 구성되며,
프로토타입 기준으로 플레이어 파티는 4개의 유닛 + 2개의 빈 슬롯으로 구성된다.
인카운터 전투는 1:1 파티 단위로 수행된다.
각 유닛의 유닛 공격력과 유닛 체력, 유닛 방어력을 합산해 파티 전투력을 표시한다.
필드 이동 시 파티 단위로 이동하게 된다.</t>
  </si>
  <si>
    <t>2) 파티 스테이터스 (인카운트 전투 진입 전 적군 파티의 전투력을 가늠하기 위해 사용)</t>
  </si>
  <si>
    <t>파티 체력</t>
  </si>
  <si>
    <t>파티 내 모든 유닛의 현재 체력 합</t>
  </si>
  <si>
    <t>* 모든 유닛의 현재 유닛 체력 합 × 파티 체력 계수(기본값 1)</t>
  </si>
  <si>
    <t>파티 공격력</t>
  </si>
  <si>
    <t>파티 내 모든 유닛의 공격력 합, 탐험 필드 내 NPC간 전투에서 필드 기본 피해량 계산에 사용된다</t>
  </si>
  <si>
    <t>* 모든 유닛의 현재 유닛 공격력 합 × 파티 공격력 계수(기본값 1)</t>
  </si>
  <si>
    <t>파티 방어력</t>
  </si>
  <si>
    <t>파티 내 모든 유닛의 방어력 합</t>
  </si>
  <si>
    <t>* 모든 유닛의 현재 유닛 방어력 합 × 파티 방어력 계수(기본값 1)</t>
  </si>
  <si>
    <t>파티 전투력</t>
  </si>
  <si>
    <t>플레이어가 상대와 자신의 전력차를 가늠해 볼 수 있도록 파티 내 유닛들의 강함을 숫자로 표기</t>
  </si>
  <si>
    <t>* 파티 전투력 = 파티 체력 + 파티 공격력 + 파티 방어력</t>
  </si>
  <si>
    <t>1) 경험치는 인카운트 전투 승리 시 획득한다. (전투 패배 시에는 획득하지 않는다.)
2) 얻는 총 경험치는 쓰러트린 모든 적의 경험치 합산이다.
3) 전투 승리 시 생존 상태의 모든 유닛은 
 총 경험치 ÷ 파티 내 전체 유닛 수(4)
만큼의 경험치를 균등하게 나눠 얻는다. 
4) 딱 나눠 떨어지지 않을 경우, 남은 경험치는 누적 경험치가 가장 낮은 임의의 유닛에게 돌아간다.
5) 리타이어한 유닛 몫의 경험치는 상실된다. (의도: 특정 유닛을 의도적으로 리타이어 상태로 유지하여 경험치를 집중시키는 플레이를 방지하기 위함)
예시)
게임 시작 시 4인 파티 중 생존 유닛 3명
총 경험치: 30
A (생존): 7
B (생존): 7
C (생존): 9 (7 + 잔여 경함치 2)
D (리타이어): 0 (경험치 7 상실)</t>
  </si>
  <si>
    <t>적군 파티 인덱스</t>
  </si>
  <si>
    <t>가디언</t>
  </si>
  <si>
    <t>블래스터</t>
  </si>
  <si>
    <t>스트라이커</t>
  </si>
  <si>
    <t>서포터</t>
  </si>
  <si>
    <t>네 자리 자연수로 표기, 예시) 1010 (맨 첫자리는 직업 코드: 1 가디언 2 스트라이커 3 위저드 4 서포터)</t>
  </si>
  <si>
    <t>파이터</t>
  </si>
  <si>
    <t>V4.3</t>
    <phoneticPr fontId="4" type="noConversion"/>
  </si>
  <si>
    <t>빌런 수 최소값(2) → 랭크업당 2~6번 전투</t>
  </si>
  <si>
    <t>빌런 수 평균값(4) → 랭크업당 1~3번 전투</t>
  </si>
  <si>
    <t>빌런 수 최대값(5) → 랭크업당 1~2번 전투</t>
  </si>
  <si>
    <t>하급 빌런</t>
  </si>
  <si>
    <t>하급 빌런 스킬1</t>
  </si>
  <si>
    <t>중급 빌런</t>
  </si>
  <si>
    <t>중급 빌런 스킬1</t>
  </si>
  <si>
    <t>중급 빌런 스킬2</t>
  </si>
  <si>
    <t>상급 빌런</t>
  </si>
  <si>
    <t>상급 빌런 스킬1</t>
  </si>
  <si>
    <t>상급 빌런 스킬2</t>
  </si>
  <si>
    <t>LowerVillian</t>
  </si>
  <si>
    <t>MiddleVillian</t>
  </si>
  <si>
    <t>AdvancedVillian</t>
  </si>
  <si>
    <t>적군 AI 시트 보류
용어 수정</t>
    <phoneticPr fontId="4" type="noConversion"/>
  </si>
  <si>
    <t>하급 수호의 코어</t>
  </si>
  <si>
    <t>중급 수호의 코어</t>
  </si>
  <si>
    <t>상급 수호의 코어</t>
  </si>
  <si>
    <t>하급 폭주의 코어</t>
  </si>
  <si>
    <t>중급 폭주의 코어</t>
  </si>
  <si>
    <t>상급 폭주의 코어</t>
  </si>
  <si>
    <t>하급 정밀의 코어</t>
  </si>
  <si>
    <t>중급 정밀의 코어</t>
  </si>
  <si>
    <t>상급 정밀의 코어</t>
  </si>
  <si>
    <t>하급 회복의 코어</t>
  </si>
  <si>
    <t>중급 회복의 코어</t>
  </si>
  <si>
    <t>상급 회복의 코어</t>
  </si>
  <si>
    <t>투쟁의 코어기</t>
  </si>
  <si>
    <t>하급 투쟁의 코어</t>
  </si>
  <si>
    <t>중급 투쟁의 코어</t>
  </si>
  <si>
    <t>상급 투쟁의 코어</t>
  </si>
  <si>
    <t>3. 전투 시뮬레이터</t>
    <phoneticPr fontId="4" type="noConversion"/>
  </si>
  <si>
    <t>열 전체</t>
    <phoneticPr fontId="4" type="noConversion"/>
  </si>
  <si>
    <t>강현재</t>
    <phoneticPr fontId="4" type="noConversion"/>
  </si>
  <si>
    <t>V4.4</t>
    <phoneticPr fontId="4" type="noConversion"/>
  </si>
  <si>
    <t>적군 스킬 1 효과
(0 공격 1 회복 2 부활)</t>
  </si>
  <si>
    <t>적군 스킬 2 효과
(0 공격 1 회복 2 부활)</t>
  </si>
  <si>
    <t>직업 스킬 효과
(0 공격 1 회복 2 부활)</t>
  </si>
  <si>
    <t>무기 스킬 효과
(0 공격 1 회복 2 부활)</t>
  </si>
  <si>
    <t>{9}</t>
  </si>
  <si>
    <t>{9}</t>
    <phoneticPr fontId="4" type="noConversion"/>
  </si>
  <si>
    <t>1) 적 시트 스킬 사정거리 라인 추가
2) 아군 유닛 시트 레벨별 스테이터스 추가
3) 직업 스킬 효과 부활 2 추가
4) 열 전체 스킬용 복수 대상 타깃 번호 9번 추가</t>
    <phoneticPr fontId="4" type="noConversion"/>
  </si>
  <si>
    <t>스킬 대상(SkillTarget)이 1인 경우 사용
복수 대상 스킬이 선택된 최초 타깃(0)을 기준으로 한 추가 타깃 후보 위치 목록 (범위 내 유닛이 존재하는 칸만 유효 타깃으로 처리, 범위 밖 무시)
근거리 스킬의 최초 선택 타깃은 기존 전열 우선 규칙을 따른다.
* 추가 타깃 포지션 번호
타깃 중복: 0, 상단: 1, 우상단: 2, 우측: 3, 우하단: 4, 하단: 5, 좌하단: 6, 좌측: 7, 좌상단: 8, 열 전체 9</t>
    <phoneticPr fontId="4" type="noConversion"/>
  </si>
  <si>
    <t>Lv1UnitMaxHP ~ Lv15UnitMaxHP</t>
    <phoneticPr fontId="4" type="noConversion"/>
  </si>
  <si>
    <t>LV1UnitATK ~ LV15UnitATK</t>
    <phoneticPr fontId="4" type="noConversion"/>
  </si>
  <si>
    <t>LV1UnitDEF ~ LV15UnitDEF</t>
    <phoneticPr fontId="4" type="noConversion"/>
  </si>
  <si>
    <t>LV1~LV15 유닛 방어력</t>
    <phoneticPr fontId="4" type="noConversion"/>
  </si>
  <si>
    <t>LV1~LV15 유닛 공격력</t>
    <phoneticPr fontId="4" type="noConversion"/>
  </si>
  <si>
    <t>LV1~LV15 유닛 최대 체력</t>
    <phoneticPr fontId="4" type="noConversion"/>
  </si>
  <si>
    <t>csv 파싱용 레벨별 최대 체력</t>
    <phoneticPr fontId="4" type="noConversion"/>
  </si>
  <si>
    <t>csv 파싱용 레벨별 공격력</t>
    <phoneticPr fontId="4" type="noConversion"/>
  </si>
  <si>
    <t>csv 파싱용 레벨별 방어력</t>
    <phoneticPr fontId="4" type="noConversion"/>
  </si>
  <si>
    <t>0 공격 스킬 (적군을 대상으로 함) 1 회복 스킬 (아군을 대상으로 함) 2 부활 스킬 (리타이어 상태의 아군을 대상으로 함)</t>
    <phoneticPr fontId="4" type="noConversion"/>
  </si>
  <si>
    <t>V4.5</t>
    <phoneticPr fontId="4" type="noConversion"/>
  </si>
  <si>
    <t>1) 직업 스킬 시트 순서 수정 (스트라이커 ↔ 블래스터)
2) 아군 유닛 시트 레벨별 오르는 스테이터스 추가</t>
    <phoneticPr fontId="4" type="noConversion"/>
  </si>
  <si>
    <t>전열 저격</t>
  </si>
  <si>
    <t>후열 저격</t>
  </si>
  <si>
    <t>연속 사격</t>
  </si>
  <si>
    <t>{0}</t>
  </si>
  <si>
    <t>급소 저격</t>
  </si>
  <si>
    <t>화살비</t>
  </si>
  <si>
    <t>최후의 일격</t>
  </si>
  <si>
    <t>{3010,3020,3030,3040,3050,3060,3070}</t>
    <phoneticPr fontId="4" type="noConversion"/>
  </si>
  <si>
    <t>레벨별 증가 체력</t>
    <phoneticPr fontId="4" type="noConversion"/>
  </si>
  <si>
    <t>레벨별 증가 공격력</t>
    <phoneticPr fontId="4" type="noConversion"/>
  </si>
  <si>
    <t>레벨별 증가 방어력</t>
    <phoneticPr fontId="4" type="noConversion"/>
  </si>
  <si>
    <t>LevelGrowthMaxHP</t>
    <phoneticPr fontId="4" type="noConversion"/>
  </si>
  <si>
    <t>LevelGrowthMaxAtk</t>
    <phoneticPr fontId="4" type="noConversion"/>
  </si>
  <si>
    <t>LevelGrowthMaxDef</t>
    <phoneticPr fontId="4" type="noConversion"/>
  </si>
  <si>
    <t xml:space="preserve"> 1) 유닛 스테이터스는 랭크가 오를 때마다 랭크업 기본 보정치 + 클래스별 추가 보정치가 추가된다.
 2) 랭크업 추가 보정치는 클래스마다 오르는 스테이터스 수치가 다르나 올라가는 총합은 동일하다.
 3) 예시
  - F랭크 가디언, 최대 체력 10
  - E랭크 가디언, 최대 체력 = 10 + 1 (기본 보정치) + 3 (추가 보정치) = 14
  - D랭크 가디언, 최대 체력 = 14 + 1 + 3 = 18</t>
    <phoneticPr fontId="4" type="noConversion"/>
  </si>
  <si>
    <t>레벨별 증가하는 최대 체력 수치, 기본 증가치(1) + 직업별 최대 체력 증가치</t>
    <phoneticPr fontId="4" type="noConversion"/>
  </si>
  <si>
    <t>레벨별 증가하는 공격력 수치, 기본 증가치(1) + 직업별 공격력 증가치</t>
    <phoneticPr fontId="4" type="noConversion"/>
  </si>
  <si>
    <t>레벨별 증가하는 방어력 수치, 기본 증가치(1) + 직업별 방어력 증가치</t>
    <phoneticPr fontId="4" type="noConversion"/>
  </si>
  <si>
    <t>V5.0</t>
    <phoneticPr fontId="4" type="noConversion"/>
  </si>
  <si>
    <t>1) 스테이터스 정의 및 계산 규칙</t>
    <phoneticPr fontId="4" type="noConversion"/>
  </si>
  <si>
    <t>2) 성장 시스템 정의, 랭크별 스테이터스 증가 규칙, 필요 경험치</t>
    <phoneticPr fontId="4" type="noConversion"/>
  </si>
  <si>
    <t>‘스테이터스’ 시트</t>
    <phoneticPr fontId="4" type="noConversion"/>
  </si>
  <si>
    <t>‘성장 시스템’ 시트</t>
    <phoneticPr fontId="4" type="noConversion"/>
  </si>
  <si>
    <t>‘아군 유닛’ 시트</t>
    <phoneticPr fontId="4" type="noConversion"/>
  </si>
  <si>
    <t>‘적군 유닛’ 시트</t>
    <phoneticPr fontId="4" type="noConversion"/>
  </si>
  <si>
    <t>‘직업 스킬’ 시트</t>
    <phoneticPr fontId="4" type="noConversion"/>
  </si>
  <si>
    <t>‘무기’ 시트</t>
    <phoneticPr fontId="4" type="noConversion"/>
  </si>
  <si>
    <t>‘스탯 시뮬레이터’ 시트</t>
    <phoneticPr fontId="4" type="noConversion"/>
  </si>
  <si>
    <t>‘전투 시뮬레이터’ 시트</t>
    <phoneticPr fontId="4" type="noConversion"/>
  </si>
  <si>
    <t>3) 아군 직업별 기본 스테이터스 및 레벨별 스테이터스</t>
    <phoneticPr fontId="4" type="noConversion"/>
  </si>
  <si>
    <t>4) 적군 스테이터스, 스킬, 보상 경험치</t>
    <phoneticPr fontId="4" type="noConversion"/>
  </si>
  <si>
    <t>5) 직업 스킬 데이터 및 스킬 레벨별 계수</t>
    <phoneticPr fontId="4" type="noConversion"/>
  </si>
  <si>
    <t>6) 무기 데이터, 무기 레벨별 보너스 스테이터스, 무기 스킬 레벨별 계수</t>
    <phoneticPr fontId="4" type="noConversion"/>
  </si>
  <si>
    <t>7) 랭크별 스테이터스 변동 계산</t>
    <phoneticPr fontId="4" type="noConversion"/>
  </si>
  <si>
    <t>8) 전투 대미지 및 전투 결과 계산</t>
    <phoneticPr fontId="4" type="noConversion"/>
  </si>
  <si>
    <t>본 문서는 다음 인원을 대상으로 한다.
1) 전투 시스템 기획자
2) 전투 시스템 프로그래머
3) 밸런스 담당 기획자</t>
    <phoneticPr fontId="4" type="noConversion"/>
  </si>
  <si>
    <t>본 문서는 《Hero Influence》의 전투 시스템 구현 및 밸런싱에 필요한 핵심 데이터를 정의하는 것을 목적으로 한다.
1) 전투 시스템 구현에 필요한 데이터 기준을 정리한다.
2) 성장, 스킬, 무기, I.P 등 전투 관련 구조를 데이터 테이블 형태로 관리한다.
3) 전투 시뮬레이션과 밸런스 조정에 필요한 공통 참조 기준을 제공한다.</t>
    <phoneticPr fontId="4" type="noConversion"/>
  </si>
  <si>
    <t>본 데이터 테이블은 전투 밸런스를 통해 플레이어의 진행 동선을 유도하고, 전투 중심 플레이와 자원 확보 중심 플레이 사이의 선택을 제공하여 전략적 판단의 재미를 강화한다.
1) 전투 난이도와 보상 구조를 조정하여, 플레이어가 기획된 동선과 성장 흐름을 따라가도록 유도한다.
2) 전투 중심 플레이와 자원 확보 중심 플레이의 효율을 비교할 수 있도록 하여, 플레이어가 어떤 방식으로 성장할지 판단하도록 한다.
3) 스킬 강화, 무기 강화, I.P 사용에 따른 전투 성능 변화를 조정하여, 자원 투자 선택이 전투 결과에 유의미하게 반영되도록 한다.
4) 전투 시뮬레이션을 통해 특정 플레이 방식이 과도하게 유리하거나 불리해지지 않도록 밸런스를 검증한다.</t>
    <phoneticPr fontId="4" type="noConversion"/>
  </si>
  <si>
    <t>Lv1 최대 체력 증가량</t>
    <phoneticPr fontId="4" type="noConversion"/>
  </si>
  <si>
    <t>Lv1 공격력 증가량</t>
    <phoneticPr fontId="4" type="noConversion"/>
  </si>
  <si>
    <t>Lv1 방어력 증가량</t>
    <phoneticPr fontId="4" type="noConversion"/>
  </si>
  <si>
    <t>Lv2 최대 체력 증가량</t>
    <phoneticPr fontId="4" type="noConversion"/>
  </si>
  <si>
    <t>Lv3 최대 체력 증가량</t>
    <phoneticPr fontId="4" type="noConversion"/>
  </si>
  <si>
    <t>Lv2 공격력 증가량</t>
    <phoneticPr fontId="4" type="noConversion"/>
  </si>
  <si>
    <t>Lv3 공격력 증가량</t>
    <phoneticPr fontId="4" type="noConversion"/>
  </si>
  <si>
    <t>Lv2 방어력 증가량</t>
    <phoneticPr fontId="4" type="noConversion"/>
  </si>
  <si>
    <t>Lv3 방어력 증가량</t>
    <phoneticPr fontId="4" type="noConversion"/>
  </si>
  <si>
    <t>무기 스킬 계수 Lv1</t>
    <phoneticPr fontId="4" type="noConversion"/>
  </si>
  <si>
    <t>WeaponSkillValueLv1</t>
    <phoneticPr fontId="4" type="noConversion"/>
  </si>
  <si>
    <t>WeaponSkillSubValueLv1</t>
    <phoneticPr fontId="4" type="noConversion"/>
  </si>
  <si>
    <t>무기 스킬
추가 계수 Lv1</t>
    <phoneticPr fontId="4" type="noConversion"/>
  </si>
  <si>
    <t>WeaponSkillValueLv2</t>
    <phoneticPr fontId="4" type="noConversion"/>
  </si>
  <si>
    <t>무기 스킬 계수 Lv2</t>
    <phoneticPr fontId="4" type="noConversion"/>
  </si>
  <si>
    <t>WeaponSkillSubValueLv2</t>
    <phoneticPr fontId="4" type="noConversion"/>
  </si>
  <si>
    <t>무기 스킬
추가 계수 Lv2</t>
    <phoneticPr fontId="4" type="noConversion"/>
  </si>
  <si>
    <t>WeaponSkillSubValueLv3</t>
    <phoneticPr fontId="4" type="noConversion"/>
  </si>
  <si>
    <t>WeaponSkillValueLv3</t>
    <phoneticPr fontId="4" type="noConversion"/>
  </si>
  <si>
    <t>무기 스킬 계수 Lv3</t>
    <phoneticPr fontId="4" type="noConversion"/>
  </si>
  <si>
    <t>무기 스킬
추가 계수 Lv3</t>
    <phoneticPr fontId="4" type="noConversion"/>
  </si>
  <si>
    <t>BonusMaxHPLv1</t>
    <phoneticPr fontId="4" type="noConversion"/>
  </si>
  <si>
    <t>BonusMaxHPLv2</t>
    <phoneticPr fontId="4" type="noConversion"/>
  </si>
  <si>
    <t>BonusMaxHPLv3</t>
    <phoneticPr fontId="4" type="noConversion"/>
  </si>
  <si>
    <t>BonusATKLv1</t>
    <phoneticPr fontId="4" type="noConversion"/>
  </si>
  <si>
    <t>BonusATKLv2</t>
    <phoneticPr fontId="4" type="noConversion"/>
  </si>
  <si>
    <t>BonusATKLv3</t>
    <phoneticPr fontId="4" type="noConversion"/>
  </si>
  <si>
    <t>BonusDEFLv1</t>
    <phoneticPr fontId="4" type="noConversion"/>
  </si>
  <si>
    <t>BonusDEFLv2</t>
    <phoneticPr fontId="4" type="noConversion"/>
  </si>
  <si>
    <t>BonusDEFLv3</t>
    <phoneticPr fontId="4" type="noConversion"/>
  </si>
  <si>
    <t>ClassSkillSubValueLv1</t>
    <phoneticPr fontId="4" type="noConversion"/>
  </si>
  <si>
    <t>ClassSkillValueLv1</t>
    <phoneticPr fontId="4" type="noConversion"/>
  </si>
  <si>
    <t>ClassSkillValueLv2</t>
    <phoneticPr fontId="4" type="noConversion"/>
  </si>
  <si>
    <t>ClassSkillSubValueLv2</t>
    <phoneticPr fontId="4" type="noConversion"/>
  </si>
  <si>
    <t>ClassSkillValueLv3</t>
    <phoneticPr fontId="4" type="noConversion"/>
  </si>
  <si>
    <t>ClassSkillSubValueLv3</t>
    <phoneticPr fontId="4" type="noConversion"/>
  </si>
  <si>
    <t>ClassSkillValueLv4</t>
    <phoneticPr fontId="4" type="noConversion"/>
  </si>
  <si>
    <t>ClassSkillSubValueLv4</t>
    <phoneticPr fontId="4" type="noConversion"/>
  </si>
  <si>
    <t>직업 스킬 계수 Lv1</t>
    <phoneticPr fontId="4" type="noConversion"/>
  </si>
  <si>
    <t>직업 스킬 추가 계수 Lv1</t>
    <phoneticPr fontId="4" type="noConversion"/>
  </si>
  <si>
    <t>직업 스킬 계수 Lv2</t>
    <phoneticPr fontId="4" type="noConversion"/>
  </si>
  <si>
    <t>직업 스킬 추가 계수 Lv2</t>
    <phoneticPr fontId="4" type="noConversion"/>
  </si>
  <si>
    <t>직업 스킬 계수 Lv3</t>
    <phoneticPr fontId="4" type="noConversion"/>
  </si>
  <si>
    <t>직업 스킬 추가 계수 Lv3</t>
    <phoneticPr fontId="4" type="noConversion"/>
  </si>
  <si>
    <t>직업 스킬 계수 Lv4</t>
    <phoneticPr fontId="4" type="noConversion"/>
  </si>
  <si>
    <t>직업 스킬 추가 계수 Lv4</t>
    <phoneticPr fontId="4" type="noConversion"/>
  </si>
  <si>
    <t>적 유닛 1명에게 {WeaponSkillValue} 대미지를 준다. (전열 우선)</t>
  </si>
  <si>
    <t>적 유닛 1명에게 기합을 날려 원거리 대미지 {WeaponSkillValue}를 준다.</t>
  </si>
  <si>
    <t xml:space="preserve">적 유닛 1명에게 {WeaponSkillValue} 대미지를 준다. </t>
  </si>
  <si>
    <t>적 한 열의 적에게 화살을 발사하여 {WeaponSkillValue} 대미지를 준다 (전열 우선)</t>
  </si>
  <si>
    <t>적 유닛 한 명에게 {WeaponSkillValue} 대미지를 주는 화살을 두 발 발사한다. (확률 보정은 독립적으로 진행)</t>
  </si>
  <si>
    <t>적 유닛 1명에게 {WeaponSkillValue} 대미지를 준다.</t>
  </si>
  <si>
    <t>적 유닛 1명을 신성력을 두른 폭주의 코어로 근접 타격하여 {WeaponSkillValue} 대미지를 준다. (전열 우선)</t>
  </si>
  <si>
    <t>적 모든 유닛에게 {WeaponSkillValue} 대미지를 주고, 입힌 피해만큼 체력을 회복한다.</t>
  </si>
  <si>
    <t>자신이 후열일 경우 후열 공격이 가능하다. 근거리 공격 {WeaponSkillValue} 대미지를 준다. (후열이 아닌 경우 전열 우선)</t>
  </si>
  <si>
    <t>적 모든 유닛에게 {WeaponSkillValue} 대미지를 준다.</t>
    <phoneticPr fontId="4" type="noConversion"/>
  </si>
  <si>
    <t>적 1명에게 {WeaponSkillValue} 대미지를 주고, 인접한 적 1명에게 추가로 {WeaponSkillSubValue} 대미지를 준다. (근거리로 취급하나 후열 공격 가능)</t>
    <phoneticPr fontId="4" type="noConversion"/>
  </si>
  <si>
    <t>적 1명에게 {ClassSkillValue} 대미지를 입히고, 1턴 동안 해당 대상이 단일 공격 시 자신을 공격하게 한다. (적 전열이 있을 경우, 전열 우선 공격)</t>
  </si>
  <si>
    <t>적 한 열에 {ClassSkillValue} 대미지를 입힌다. (적 전열이 있을 경우, 전열 우선 공격)</t>
  </si>
  <si>
    <t>적 한 열에 {ClassSkillValue} 대미지를 입히고, 1턴 동안 모든 적이 단일 공격 시 자신을 공격하게 한다. (적 전열이 있을 경우, 전열 우선 공격)</t>
  </si>
  <si>
    <t>적 1명에게 {ClassSkillValue} 대미지를 입힌다. (후열에 있는 적도 공격 가능하다.)</t>
  </si>
  <si>
    <t>적 전열과 후열의 모든 적에게 {ClassSkillValue} 대미지를 준다.</t>
  </si>
  <si>
    <t>적 1명에게 {ClassSkillValue} 대미지를 입힌다.</t>
  </si>
  <si>
    <t>적 한 명에게 {ClassSkillValue} 대미지를 입힌다. 다음 자신의 턴 1턴을 건너뛴다.</t>
  </si>
  <si>
    <t>적 한 열에 {ClassSkillValue} 대미지를 입힌다.</t>
    <phoneticPr fontId="4" type="noConversion"/>
  </si>
  <si>
    <t>적 1명에게 {ClassSkillValue} 대미지를 입힌다.</t>
    <phoneticPr fontId="4" type="noConversion"/>
  </si>
  <si>
    <t>전열의 적 한 명에게 {ClassSkillValue} 대미지를 입히고, 해당 후열에 있는 적 한 명에게 추가로 {ClassSkillSubValue} 대미지를 입힌다. (전열의 적이 없을 경우 후열의 적 한 명만을 공격)</t>
    <phoneticPr fontId="4" type="noConversion"/>
  </si>
  <si>
    <t>전열의 적 한 명에게 {ClassSkillValue} 대미지를 입히고, 인접한 적 한 명에게 추가로 {ClassSkillSubValue} 대미지를 입힌다.</t>
    <phoneticPr fontId="4" type="noConversion"/>
  </si>
  <si>
    <t>적 전열과 후열의 모든 적에게 {ClassSkillValue}대미지를 준다.</t>
  </si>
  <si>
    <t>적 1명에게 {ClassSkillValue}대미지를 입힌다. 전열의 적을 공격 시, {ClassSkillValue}대미지로 계산한다.</t>
  </si>
  <si>
    <t>적 1명에게 {ClassSkillValue}대미지를 입힌다. 후열의 적을 공격 시 대미지 계산 전 회피율을 20% 내린다.</t>
  </si>
  <si>
    <t>적 1명에게 {ClassSkillValue}대미지를 두 번 입힌다. (치명타, 회피율 판정은 각각 계산한다.)</t>
  </si>
  <si>
    <t>적 1명에게 {ClassSkillValue}대미지를 입히고, 입힌 대미지 만큼 아군의 1명의 IP 회복 (최대 20)</t>
  </si>
  <si>
    <t>적 1명에게 {ClassSkillValue}대미지를 입히고 체력을 회복할 수 없게 한다.</t>
  </si>
  <si>
    <t>적 1명에게 {ClassSkillValue}대미지를 입힌다. 대상이 전열일 경우 {ClassSkillValue}+{ClassSkillSubValue} 대미지를 입힌다. (적 전열이 있을 경우, 전열 우선 공격)</t>
  </si>
  <si>
    <t>적 1명에게 {ClassSkillValue} 대미지를 입힌다. (후열 공격 가능)</t>
  </si>
  <si>
    <t>적 1명에게 {ClassSkillValue}대미지를 두 번 입힌다.  (적 전열이 있을 경우, 전열 우선 공격, 치명타, 회피율 판정은 각각 계산한다.)</t>
  </si>
  <si>
    <t>적 1명에게 치명타 확률이 20% 높은 {ClassSkillValue}대미지를 입힌다. (적 전열이 있을 경우, 전열 우선 공격)</t>
  </si>
  <si>
    <t xml:space="preserve"> 습득 랭크</t>
    <phoneticPr fontId="4" type="noConversion"/>
  </si>
  <si>
    <t>ClassSkill
AcquireRank</t>
    <phoneticPr fontId="4" type="noConversion"/>
  </si>
  <si>
    <t>UnitName</t>
    <phoneticPr fontId="4" type="noConversion"/>
  </si>
  <si>
    <t>1) 직업 스킬 레벨별 스킬 계수 추가
2) 무기 레벨별 스테이터스 보너스 추가
3) 무기 스킬 레벨별 스킬 계수 추가
4) 아군 유닛 유닛명 추가
5) 스킬 계수 밸런스</t>
    <phoneticPr fontId="4" type="noConversion"/>
  </si>
  <si>
    <t>적의 후열에 {ClassSkillValue}근접 대미지를 준다. 적의 후열이 없는 경우, 전열에 {ClassSkillSubValue}대미지를 준다.</t>
    <phoneticPr fontId="4" type="noConversion"/>
  </si>
  <si>
    <t>적의 체력이 낮을 수록 높은 대미지를 입힌다. (기본 100% + 적의 최대 체력 대비 현재 체력 10%가 낮아질 때마다 10% 추가, 최대 {ClassSkillValue})(적 전열이 있을 경우, 전열 우선 공격)</t>
    <phoneticPr fontId="4" type="noConversion"/>
  </si>
  <si>
    <t xml:space="preserve">적 1명에게 {ClassSkillValue}대미지를 입힌다. 아군과 적군이 각각 1명씩 남았을 경우 {ClassSkillValue}+{ClassSkillSubValue}대미지를 입힌다. </t>
    <phoneticPr fontId="4" type="noConversion"/>
  </si>
  <si>
    <t>검기</t>
    <phoneticPr fontId="4" type="noConversion"/>
  </si>
  <si>
    <t>적의 체력이 낮을 수록 높은 대미지를 입힌다. (기본 100% + 적의 최대 체력 대비 현재 체력 10%가 낮아질 때마다 10% 추가, 최대 {ClassSkillValue})</t>
    <phoneticPr fontId="4" type="noConversion"/>
  </si>
  <si>
    <t>이 공격을 맞는 적의 수가 적을수록 높은 대미지를 입힌다. (기본 100% + 전 진형의 빈 칸 하나당 20%, 최대 {ClassSkillValue})</t>
    <phoneticPr fontId="4" type="noConversion"/>
  </si>
  <si>
    <t>적 1명에게 체력이 높을수록 높은 대미지를 입힌다. (기본 {ClassSkillValue} + 적의 최대 체력 대비 현재 체력 10%가 낮아질 때마다 10% 감소, 최소 100%)</t>
    <phoneticPr fontId="4" type="noConversion"/>
  </si>
  <si>
    <t>사망한 아군 1명을 체력 20%로 부활시킨다. (한 전투당 한 번만 사용 가능)</t>
    <phoneticPr fontId="4" type="noConversion"/>
  </si>
  <si>
    <t>적 1명에게 {ClassSkillValue}대미지를 입힌다. 체력 80% 이하 대상 공격 시 대미지 계산 전 치명타 확률을 20% 올린다.</t>
    <phoneticPr fontId="4" type="noConversion"/>
  </si>
  <si>
    <t>자신의 체력이 낮을수록 적 1명에게 높은 대미지를 입힌다. (기본 100% + 최대 체력 대비 현재 체력 20%가 낮아질 때마다 40% 추가, 최대 {ClassSkillValue})</t>
    <phoneticPr fontId="4" type="noConversion"/>
  </si>
  <si>
    <t>UnitName</t>
    <phoneticPr fontId="4" type="noConversion"/>
  </si>
  <si>
    <t>히어로 타입 (보류)</t>
    <phoneticPr fontId="4" type="noConversion"/>
  </si>
  <si>
    <t>공격 스킬: % 단위 표시 (예: 150%)
회복 스킬: 고정 수치 표시</t>
    <phoneticPr fontId="4" type="noConversion"/>
  </si>
  <si>
    <t>SkillValue Lv○</t>
    <phoneticPr fontId="4" type="noConversion"/>
  </si>
  <si>
    <t>SkillSubValue Lv○</t>
    <phoneticPr fontId="4" type="noConversion"/>
  </si>
  <si>
    <t>Lv○ 스킬 계수</t>
    <phoneticPr fontId="4" type="noConversion"/>
  </si>
  <si>
    <t>Lv○ 추가 스킬 계수</t>
    <phoneticPr fontId="4" type="noConversion"/>
  </si>
  <si>
    <t>최대 체력 증가량 Lv○</t>
    <phoneticPr fontId="4" type="noConversion"/>
  </si>
  <si>
    <t>공격력 증가량 Lv○</t>
    <phoneticPr fontId="4" type="noConversion"/>
  </si>
  <si>
    <t>방어력 증가량 Lv○</t>
    <phoneticPr fontId="4" type="noConversion"/>
  </si>
  <si>
    <t>BonusMaxHP Lv○</t>
    <phoneticPr fontId="4" type="noConversion"/>
  </si>
  <si>
    <t>BonusATK Lv○</t>
    <phoneticPr fontId="4" type="noConversion"/>
  </si>
  <si>
    <t>BonusDEF Lv○</t>
    <phoneticPr fontId="4" type="noConversion"/>
  </si>
  <si>
    <t>#Comment</t>
    <phoneticPr fontId="4" type="noConversion"/>
  </si>
  <si>
    <t>#Type</t>
    <phoneticPr fontId="4" type="noConversion"/>
  </si>
  <si>
    <t>percent</t>
    <phoneticPr fontId="4" type="noConversion"/>
  </si>
  <si>
    <t>#Name</t>
    <phoneticPr fontId="4" type="noConversion"/>
  </si>
  <si>
    <t>#Data</t>
    <phoneticPr fontId="4" type="noConversion"/>
  </si>
  <si>
    <t>#End</t>
    <phoneticPr fontId="4" type="noConversion"/>
  </si>
  <si>
    <t>여긴 안씀</t>
    <phoneticPr fontId="4" type="noConversion"/>
  </si>
  <si>
    <t>V6.0</t>
    <phoneticPr fontId="4" type="noConversion"/>
  </si>
  <si>
    <t>파싱용 양식 추가</t>
    <phoneticPr fontId="4" type="noConversion"/>
  </si>
  <si>
    <t>아군 유닛 식별용 
인덱스</t>
    <phoneticPr fontId="4" type="noConversion"/>
  </si>
  <si>
    <t>인게임상
표기 클래스</t>
    <phoneticPr fontId="4" type="noConversion"/>
  </si>
  <si>
    <t>인게임상
표기 설명</t>
    <phoneticPr fontId="4" type="noConversion"/>
  </si>
  <si>
    <t>유닛 크리티컬율</t>
    <phoneticPr fontId="4" type="noConversion"/>
  </si>
  <si>
    <t>유닛 피해 경감율</t>
    <phoneticPr fontId="4" type="noConversion"/>
  </si>
  <si>
    <t>유닛 반격률</t>
    <phoneticPr fontId="4" type="noConversion"/>
  </si>
  <si>
    <t>유닛 스피드</t>
    <phoneticPr fontId="4" type="noConversion"/>
  </si>
  <si>
    <t xml:space="preserve">유닛 사용하는 스킬 리스트 </t>
    <phoneticPr fontId="4" type="noConversion"/>
  </si>
  <si>
    <t>유닛 사용하는 무기 리스트</t>
    <phoneticPr fontId="4" type="noConversion"/>
  </si>
  <si>
    <t>레벨당 증가 체력</t>
    <phoneticPr fontId="4" type="noConversion"/>
  </si>
  <si>
    <t>레벨당 증가 공격력</t>
    <phoneticPr fontId="4" type="noConversion"/>
  </si>
  <si>
    <t>레벨당 증가 방어력</t>
    <phoneticPr fontId="4" type="noConversion"/>
  </si>
  <si>
    <t>적 유닛 1명에게 {WeaponSkillValue} 대미지를 준다. (전열 우선)</t>
    <phoneticPr fontId="4" type="noConversion"/>
  </si>
  <si>
    <t>적 한 열의 적에게 화살을 발사하여 {WeaponSkillValue} 대미지를 준다 (전열 우선)</t>
    <phoneticPr fontId="4" type="noConversion"/>
  </si>
  <si>
    <t xml:space="preserve">적 유닛 1명에게 {WeaponSkillValue} 대미지를 준다. </t>
    <phoneticPr fontId="4" type="noConversion"/>
  </si>
  <si>
    <t>적 유닛 한 명에게 {WeaponSkillValue} 대미지를 주는 화살을 두 발 발사한다. (확률 보정은 독립적으로 진행)</t>
    <phoneticPr fontId="4" type="noConversion"/>
  </si>
  <si>
    <t>적 유닛 1명에게 {WeaponSkillValue} 대미지를 준다.</t>
    <phoneticPr fontId="4" type="noConversion"/>
  </si>
  <si>
    <t>적 유닛 1명을 신성력을 두른 폭주의 코어로 근접 타격하여 {WeaponSkillValue} 대미지를 준다. (전열 우선)</t>
    <phoneticPr fontId="4" type="noConversion"/>
  </si>
  <si>
    <t>적 모든 유닛에게 {WeaponSkillValue} 대미지를 주고, 입힌 피해만큼 체력을 회복한다.</t>
    <phoneticPr fontId="4" type="noConversion"/>
  </si>
  <si>
    <t>자신이 후열일 경우 후열 공격이 가능하다. 근거리 공격 {WeaponSkillValue} 대미지를 준다. (후열이 아닌 경우 전열 우선)</t>
    <phoneticPr fontId="4" type="noConversion"/>
  </si>
  <si>
    <t>WeaponSkillMultiTargetCount</t>
    <phoneticPr fontId="4" type="noConversion"/>
  </si>
  <si>
    <t>무기 식별용 
인덱스</t>
    <phoneticPr fontId="4" type="noConversion"/>
  </si>
  <si>
    <t>사용 유닛 클래스</t>
    <phoneticPr fontId="4" type="noConversion"/>
  </si>
  <si>
    <t>인게임상
표기 장비 이름</t>
    <phoneticPr fontId="4" type="noConversion"/>
  </si>
  <si>
    <t>Lv1일 때
무기 체력</t>
    <phoneticPr fontId="4" type="noConversion"/>
  </si>
  <si>
    <t>Lv2일 때
무기 체력</t>
    <phoneticPr fontId="4" type="noConversion"/>
  </si>
  <si>
    <t>Lv3일 때
무기 체력</t>
    <phoneticPr fontId="4" type="noConversion"/>
  </si>
  <si>
    <t>Lv1일 때
무기 공격력</t>
    <phoneticPr fontId="4" type="noConversion"/>
  </si>
  <si>
    <t>Lv2일 때
무기 공격력</t>
    <phoneticPr fontId="4" type="noConversion"/>
  </si>
  <si>
    <t>Lv3일 때
무기 공격력</t>
    <phoneticPr fontId="4" type="noConversion"/>
  </si>
  <si>
    <t>Lv1일 때
무기 방어력</t>
    <phoneticPr fontId="4" type="noConversion"/>
  </si>
  <si>
    <t>Lv2일 때
무기 방어력</t>
    <phoneticPr fontId="4" type="noConversion"/>
  </si>
  <si>
    <t>Lv3일 때
무기 방어력</t>
    <phoneticPr fontId="4" type="noConversion"/>
  </si>
  <si>
    <t>무기 치명타율</t>
    <phoneticPr fontId="4" type="noConversion"/>
  </si>
  <si>
    <t>무기 반격률</t>
    <phoneticPr fontId="4" type="noConversion"/>
  </si>
  <si>
    <t>무기 피해 경감율</t>
    <phoneticPr fontId="4" type="noConversion"/>
  </si>
  <si>
    <t>무기 스피드</t>
    <phoneticPr fontId="4" type="noConversion"/>
  </si>
  <si>
    <t>무기 데이터 테이블</t>
    <phoneticPr fontId="4" type="noConversion"/>
  </si>
  <si>
    <t>아군 유닛 스테이터스 데이터 테이블</t>
    <phoneticPr fontId="4" type="noConversion"/>
  </si>
  <si>
    <t>무기 스킬 인덱스용 테이블</t>
    <phoneticPr fontId="4" type="noConversion"/>
  </si>
  <si>
    <t>인게임 표기 무기 스킬명</t>
    <phoneticPr fontId="4" type="noConversion"/>
  </si>
  <si>
    <t>인게임 표기 무기 설명</t>
    <phoneticPr fontId="4" type="noConversion"/>
  </si>
  <si>
    <t>적군 유닛 테이블</t>
    <phoneticPr fontId="4" type="noConversion"/>
  </si>
  <si>
    <t>인게임용 적군 유닛 콘셉트</t>
    <phoneticPr fontId="4" type="noConversion"/>
  </si>
  <si>
    <t>하급 빌런 스킬2</t>
    <phoneticPr fontId="4" type="noConversion"/>
  </si>
  <si>
    <t>아군 유닛 클래스별 직업 스킬</t>
    <phoneticPr fontId="4" type="noConversion"/>
  </si>
  <si>
    <t>ClassSkillValueLv5</t>
    <phoneticPr fontId="4" type="noConversion"/>
  </si>
  <si>
    <t>ClassSkillSubValueLv5</t>
    <phoneticPr fontId="4" type="noConversion"/>
  </si>
  <si>
    <t>직업 스킬 계수 Lv5</t>
    <phoneticPr fontId="4" type="noConversion"/>
  </si>
  <si>
    <t>직업 스킬 추가 계수 Lv5</t>
    <phoneticPr fontId="4" type="noConversion"/>
  </si>
  <si>
    <t>BonusMaxHPLv4</t>
    <phoneticPr fontId="4" type="noConversion"/>
  </si>
  <si>
    <t>BonusMaxHPLv5</t>
    <phoneticPr fontId="4" type="noConversion"/>
  </si>
  <si>
    <t>Lv4일 때
무기 체력</t>
    <phoneticPr fontId="4" type="noConversion"/>
  </si>
  <si>
    <t>Lv5일 때
무기 체력</t>
    <phoneticPr fontId="4" type="noConversion"/>
  </si>
  <si>
    <t>BonusATKLv4</t>
    <phoneticPr fontId="4" type="noConversion"/>
  </si>
  <si>
    <t>Lv4일 때
무기 공격력</t>
    <phoneticPr fontId="4" type="noConversion"/>
  </si>
  <si>
    <t>BonusATKLv5</t>
    <phoneticPr fontId="4" type="noConversion"/>
  </si>
  <si>
    <t>Lv5일 때
무기 공격력</t>
    <phoneticPr fontId="4" type="noConversion"/>
  </si>
  <si>
    <t>BonusDEFLv4</t>
    <phoneticPr fontId="4" type="noConversion"/>
  </si>
  <si>
    <t>Lv34 때
무기 방어력</t>
    <phoneticPr fontId="4" type="noConversion"/>
  </si>
  <si>
    <t>BonusDEFLv5</t>
    <phoneticPr fontId="4" type="noConversion"/>
  </si>
  <si>
    <t>Lv5일 때
무기 방어력</t>
    <phoneticPr fontId="4" type="noConversion"/>
  </si>
  <si>
    <t>WeaponSkillValueLv4</t>
    <phoneticPr fontId="4" type="noConversion"/>
  </si>
  <si>
    <t>WeaponSkillSubValueLv4</t>
    <phoneticPr fontId="4" type="noConversion"/>
  </si>
  <si>
    <t>무기 스킬 계수 Lv4</t>
    <phoneticPr fontId="4" type="noConversion"/>
  </si>
  <si>
    <t>무기 스킬
추가 계수 Lv4</t>
    <phoneticPr fontId="4" type="noConversion"/>
  </si>
  <si>
    <t>WeaponSkillValueLv5</t>
    <phoneticPr fontId="4" type="noConversion"/>
  </si>
  <si>
    <t>WeaponSkillSubValueLv5</t>
    <phoneticPr fontId="4" type="noConversion"/>
  </si>
  <si>
    <t>무기 스킬 계수 Lv5</t>
    <phoneticPr fontId="4" type="noConversion"/>
  </si>
  <si>
    <t>무기 스킬
추가 계수 Lv5</t>
    <phoneticPr fontId="4" type="noConversion"/>
  </si>
  <si>
    <t>가디언</t>
    <phoneticPr fontId="4" type="noConversion"/>
  </si>
  <si>
    <t>블래스터
배우는 스킬</t>
    <phoneticPr fontId="4" type="noConversion"/>
  </si>
  <si>
    <t>스트라이커
배우는 스킬</t>
    <phoneticPr fontId="4" type="noConversion"/>
  </si>
  <si>
    <t>서포터
배우는 스킬</t>
    <phoneticPr fontId="4" type="noConversion"/>
  </si>
  <si>
    <t>파이터
배우는 스킬</t>
    <phoneticPr fontId="4" type="noConversion"/>
  </si>
  <si>
    <t>인게임 상 표기</t>
    <phoneticPr fontId="4" type="noConversion"/>
  </si>
  <si>
    <t>Level</t>
    <phoneticPr fontId="4" type="noConversion"/>
  </si>
  <si>
    <t>Rank</t>
    <phoneticPr fontId="4" type="noConversion"/>
  </si>
  <si>
    <t>NeedExpieriencePoint</t>
    <phoneticPr fontId="4" type="noConversion"/>
  </si>
  <si>
    <t>AddIP</t>
    <phoneticPr fontId="4" type="noConversion"/>
  </si>
  <si>
    <t>BlasterStudySkill</t>
    <phoneticPr fontId="4" type="noConversion"/>
  </si>
  <si>
    <t>StrikerStudySkill</t>
    <phoneticPr fontId="4" type="noConversion"/>
  </si>
  <si>
    <t>SuppoterStudySkill</t>
    <phoneticPr fontId="4" type="noConversion"/>
  </si>
  <si>
    <t>FighterStudySkill</t>
    <phoneticPr fontId="4" type="noConversion"/>
  </si>
  <si>
    <t>최대 IP</t>
    <phoneticPr fontId="4" type="noConversion"/>
  </si>
  <si>
    <t>현재 IP</t>
    <phoneticPr fontId="4" type="noConversion"/>
  </si>
  <si>
    <t>승패 여부 판정</t>
    <phoneticPr fontId="4" type="noConversion"/>
  </si>
  <si>
    <t>V7.0</t>
    <phoneticPr fontId="4" type="noConversion"/>
  </si>
  <si>
    <t>전투 시뮬레이터 자동 승패 계산식 초안</t>
    <phoneticPr fontId="4" type="noConversion"/>
  </si>
  <si>
    <t>6. 직업 스킬</t>
    <phoneticPr fontId="4" type="noConversion"/>
  </si>
  <si>
    <t>루미나</t>
    <phoneticPr fontId="4" type="noConversion"/>
  </si>
  <si>
    <t>블랙 불릿</t>
    <phoneticPr fontId="4" type="noConversion"/>
  </si>
  <si>
    <t>네코밍</t>
    <phoneticPr fontId="4" type="noConversion"/>
  </si>
  <si>
    <t>저스티스</t>
    <phoneticPr fontId="4" type="noConversion"/>
  </si>
  <si>
    <t>인게임상
표기 이름</t>
    <phoneticPr fontId="4" type="noConversion"/>
  </si>
  <si>
    <t>Enemy 01</t>
  </si>
  <si>
    <t>Enemy 01</t>
    <phoneticPr fontId="4" type="noConversion"/>
  </si>
  <si>
    <t>Enemy 02</t>
    <phoneticPr fontId="4" type="noConversion"/>
  </si>
  <si>
    <t>V7.1</t>
    <phoneticPr fontId="4" type="noConversion"/>
  </si>
  <si>
    <t>Enemy 03</t>
    <phoneticPr fontId="4" type="noConversion"/>
  </si>
  <si>
    <t>Enemy 04</t>
    <phoneticPr fontId="4" type="noConversion"/>
  </si>
  <si>
    <t>기본 대미지는 공식은 1:1 전투 시뮬레이터와 동일하다.
1) 공격력과 방어력의 차이를 구한다.
   damageBase = 공격력 - 방어력
2) 스킬 계수를 곱한다.
   damageBase = damageBase × 스킬 계수
3) IP 보정치를 곱한다.
   damageBase = damageBase × (현재 IP / 100)
4) 계산 결과를 정수로 변환한다.
   소수점이 발생할 경우, 소수 첫째 자리에서 반올림한다.
   (예: 14.4 → 14, 16.5 → 17)
최종 대미지는 다음 규칙을 따른다.
1) 기본 대미지가 2 미만일 경우, 2로 고정한다. (음수 포함)
2) 그 외의 경우, 기본 대미지를 그대로 사용한다.</t>
    <phoneticPr fontId="4" type="noConversion"/>
  </si>
  <si>
    <t>1. 전투 시뮬레이터 목표 및 개요</t>
    <phoneticPr fontId="4" type="noConversion"/>
  </si>
  <si>
    <t>본 시뮬레이터는 다대다 전투 환경에서  캐릭터별 전투 성능과 전투 소요 턴을 투쟁의 검증하기 위한 도구이다.
간소한 전투 대미지 계산을 위해 치명타율/반격율/회피율 등 부가 요소는 고려하지 않는다.</t>
    <phoneticPr fontId="4" type="noConversion"/>
  </si>
  <si>
    <t>2. 기본 대미지</t>
    <phoneticPr fontId="4" type="noConversion"/>
  </si>
  <si>
    <t>Hero 01</t>
  </si>
  <si>
    <t>Hero 01</t>
    <phoneticPr fontId="4" type="noConversion"/>
  </si>
  <si>
    <t>Hero 02</t>
    <phoneticPr fontId="4" type="noConversion"/>
  </si>
  <si>
    <t>Hero 03</t>
  </si>
  <si>
    <t>Hero 04</t>
  </si>
  <si>
    <t>무기 레벨</t>
    <phoneticPr fontId="4" type="noConversion"/>
  </si>
  <si>
    <t>무기 설명</t>
    <phoneticPr fontId="4" type="noConversion"/>
  </si>
  <si>
    <t>Lv4 최대 체력 증가량</t>
    <phoneticPr fontId="4" type="noConversion"/>
  </si>
  <si>
    <t>Lv5 최대 체력 증가량</t>
    <phoneticPr fontId="4" type="noConversion"/>
  </si>
  <si>
    <t>Lv4 공격력 증가량</t>
    <phoneticPr fontId="4" type="noConversion"/>
  </si>
  <si>
    <t>Lv5 공격력 증가량</t>
    <phoneticPr fontId="4" type="noConversion"/>
  </si>
  <si>
    <t>Lv4 방어력 증가량</t>
    <phoneticPr fontId="4" type="noConversion"/>
  </si>
  <si>
    <t>Lv5 방어력 증가량</t>
    <phoneticPr fontId="4" type="noConversion"/>
  </si>
  <si>
    <t>하급 투쟁의 코어</t>
    <phoneticPr fontId="4" type="noConversion"/>
  </si>
  <si>
    <t>피격자 ↓ / 공격자 →</t>
    <phoneticPr fontId="4" type="noConversion"/>
  </si>
  <si>
    <t>3. 1:1 대응</t>
    <phoneticPr fontId="4" type="noConversion"/>
  </si>
  <si>
    <t>Hero 03</t>
    <phoneticPr fontId="4" type="noConversion"/>
  </si>
  <si>
    <t>Hero 04</t>
    <phoneticPr fontId="4" type="noConversion"/>
  </si>
  <si>
    <t>원래 체력</t>
    <phoneticPr fontId="4" type="noConversion"/>
  </si>
  <si>
    <t>턴수 ↓</t>
    <phoneticPr fontId="4" type="noConversion"/>
  </si>
  <si>
    <t>Lv1</t>
    <phoneticPr fontId="4" type="noConversion"/>
  </si>
  <si>
    <t>Lv2</t>
    <phoneticPr fontId="4" type="noConversion"/>
  </si>
  <si>
    <t>Lv3</t>
  </si>
  <si>
    <t>Lv4</t>
  </si>
  <si>
    <t>Lv5</t>
  </si>
  <si>
    <t>Lv6</t>
  </si>
  <si>
    <t>Lv7</t>
  </si>
  <si>
    <t>Lv8</t>
  </si>
  <si>
    <t>DEF</t>
    <phoneticPr fontId="4" type="noConversion"/>
  </si>
  <si>
    <t>ATK</t>
    <phoneticPr fontId="4" type="noConversion"/>
  </si>
  <si>
    <t>maxHP</t>
    <phoneticPr fontId="4" type="noConversion"/>
  </si>
  <si>
    <t>파이터</t>
    <phoneticPr fontId="4" type="noConversion"/>
  </si>
  <si>
    <t>랭크업 유닛 최대 체력
= 유닛 최대 체력
+ 캐릭터 보정치 × 레벨</t>
    <phoneticPr fontId="4" type="noConversion"/>
  </si>
  <si>
    <t>랭크업 유닛 공격력
= 유닛 공격력
+ 캐릭터 보정치 × 레벨</t>
    <phoneticPr fontId="4" type="noConversion"/>
  </si>
  <si>
    <t>랭크업 유닛 방어력
= 유닛 방어력
+ 캐릭터 보정치 × 레벨</t>
    <phoneticPr fontId="4" type="noConversion"/>
  </si>
  <si>
    <t>저스티스</t>
  </si>
  <si>
    <t>루미나</t>
  </si>
  <si>
    <t>블랙 불릿</t>
  </si>
  <si>
    <t>네코밍</t>
  </si>
  <si>
    <t>캐릭터 콘셉트</t>
    <phoneticPr fontId="4" type="noConversion"/>
  </si>
  <si>
    <t>캐릭터명</t>
    <phoneticPr fontId="4" type="noConversion"/>
  </si>
  <si>
    <t>4. 소요 턴</t>
    <phoneticPr fontId="4" type="noConversion"/>
  </si>
  <si>
    <t>2~3턴</t>
    <phoneticPr fontId="4" type="noConversion"/>
  </si>
  <si>
    <t>2~5턴</t>
    <phoneticPr fontId="4" type="noConversion"/>
  </si>
  <si>
    <t>평균적인 능력치를 지닌 근거리 히어로</t>
    <phoneticPr fontId="4" type="noConversion"/>
  </si>
  <si>
    <t>다중 공격에 특화된 원거리 히어로</t>
    <phoneticPr fontId="4" type="noConversion"/>
  </si>
  <si>
    <t>단일 공격에 특화된 원거리 히어로</t>
    <phoneticPr fontId="4" type="noConversion"/>
  </si>
  <si>
    <t>회복이 가능한 원거리 히어로</t>
    <phoneticPr fontId="4" type="noConversion"/>
  </si>
  <si>
    <t>SS</t>
    <phoneticPr fontId="4" type="noConversion"/>
  </si>
  <si>
    <t>SSS</t>
    <phoneticPr fontId="4" type="noConversion"/>
  </si>
  <si>
    <t>권장 전투 수</t>
    <phoneticPr fontId="4" type="noConversion"/>
  </si>
  <si>
    <t>합계</t>
    <phoneticPr fontId="4" type="noConversion"/>
  </si>
  <si>
    <t>초급 (10)</t>
    <phoneticPr fontId="4" type="noConversion"/>
  </si>
  <si>
    <t>중급 (20)</t>
    <phoneticPr fontId="4" type="noConversion"/>
  </si>
  <si>
    <t>상급 (30)</t>
    <phoneticPr fontId="4" type="noConversion"/>
  </si>
  <si>
    <t>적군 부대 테이블</t>
    <phoneticPr fontId="4" type="noConversion"/>
  </si>
  <si>
    <t>Enemy1</t>
    <phoneticPr fontId="4" type="noConversion"/>
  </si>
  <si>
    <t>Enemy1Slot</t>
    <phoneticPr fontId="14" type="noConversion"/>
  </si>
  <si>
    <t>Enemy2</t>
    <phoneticPr fontId="4" type="noConversion"/>
  </si>
  <si>
    <t>Enemy2Slot</t>
    <phoneticPr fontId="14" type="noConversion"/>
  </si>
  <si>
    <t>Enemy3</t>
    <phoneticPr fontId="4" type="noConversion"/>
  </si>
  <si>
    <t>Enemy3Slot</t>
    <phoneticPr fontId="14" type="noConversion"/>
  </si>
  <si>
    <t>Enemy4</t>
    <phoneticPr fontId="4" type="noConversion"/>
  </si>
  <si>
    <t>Enemy4Slot</t>
    <phoneticPr fontId="14" type="noConversion"/>
  </si>
  <si>
    <t>Enemy5</t>
    <phoneticPr fontId="4" type="noConversion"/>
  </si>
  <si>
    <t>Enemy5Slot</t>
    <phoneticPr fontId="14" type="noConversion"/>
  </si>
  <si>
    <t>유닛 종류
(하급: 20001,
중급: 20002,
상급: 20003</t>
    <phoneticPr fontId="4" type="noConversion"/>
  </si>
  <si>
    <t>유닛 위치</t>
    <phoneticPr fontId="14" type="noConversion"/>
  </si>
  <si>
    <t>하급 2</t>
    <phoneticPr fontId="14" type="noConversion"/>
  </si>
  <si>
    <t>하급 3</t>
    <phoneticPr fontId="14" type="noConversion"/>
  </si>
  <si>
    <t>하급 2+중급1</t>
    <phoneticPr fontId="14" type="noConversion"/>
  </si>
  <si>
    <t>하급 2+중급2</t>
    <phoneticPr fontId="14" type="noConversion"/>
  </si>
  <si>
    <t>하급2+중급2+상급1</t>
    <phoneticPr fontId="14" type="noConversion"/>
  </si>
  <si>
    <t>하급</t>
    <phoneticPr fontId="14" type="noConversion"/>
  </si>
  <si>
    <t>중급</t>
    <phoneticPr fontId="14" type="noConversion"/>
  </si>
  <si>
    <t>상급</t>
    <phoneticPr fontId="14" type="noConversion"/>
  </si>
  <si>
    <t xml:space="preserve"> 《Hero Influence》의 전투는 게임의 핵심인 4X (탐험, 확장, 성장, 섬멸) 진행 중 발생하는 턴제 전투가 전체 게임 흐름을 크게 끊지 않도록 하는 것을 목표로 한다.
 이에 따라 성장 시스템은 다음 4가지 방향성을 가진다.
  1) 초반에는 1~2회, 중후반에는 2~3회의 인카운터 전투를 통해 유닛이 랭크업하도록 설계
  2) 전투 템포를 유지하기 위해 체력 및 방어력의 성장률은 완만하게 설계
  3) 공격력이 체력보다 상대적으로 빠르게 성장하도록 설계
  4) 클래스 간 역할 구분은 유지하되, 모든 클래스가 전열과 후열 모두에서 정밀의 코어용 가능하도록 설계
   - 동일 랭크 적 기준, 최소 1회의 공격을 생존할 수 있도록 체력 및 체력 성장률 설계
   - 동일 랭크 적 기준, 1회 공격 시 최소 피해량이 대상 최대 체력의 10~25% 이상이 되도록 설계
  3) 유닛의 기본 전투 성능은 랭크에 따라 결정되지만, 실제 전투 결과에 미치는 영향은 I.P가 더 크게 작용하도록 설계</t>
    <phoneticPr fontId="4" type="noConversion"/>
  </si>
  <si>
    <t>2~4턴</t>
    <phoneticPr fontId="4" type="noConversion"/>
  </si>
  <si>
    <t>사망 예상 턴</t>
    <phoneticPr fontId="4" type="noConversion"/>
  </si>
  <si>
    <t>전투 종료 턴</t>
    <phoneticPr fontId="4" type="noConversion"/>
  </si>
  <si>
    <t>전투 종료 시 남은 체력</t>
    <phoneticPr fontId="4" type="noConversion"/>
  </si>
  <si>
    <t>5. 자동 전투 결과 공식</t>
    <phoneticPr fontId="4" type="noConversion"/>
  </si>
  <si>
    <t>아군</t>
    <phoneticPr fontId="4" type="noConversion"/>
  </si>
  <si>
    <t>적군</t>
    <phoneticPr fontId="4" type="noConversion"/>
  </si>
  <si>
    <t>히어로 파티</t>
    <phoneticPr fontId="4" type="noConversion"/>
  </si>
  <si>
    <t>빌런 파티</t>
    <phoneticPr fontId="4" type="noConversion"/>
  </si>
  <si>
    <t>현재 IP 합계</t>
    <phoneticPr fontId="4" type="noConversion"/>
  </si>
  <si>
    <t>기본 대미지</t>
    <phoneticPr fontId="4" type="noConversion"/>
  </si>
  <si>
    <t>1:1 대응</t>
    <phoneticPr fontId="4" type="noConversion"/>
  </si>
  <si>
    <t>승</t>
    <phoneticPr fontId="4" type="noConversion"/>
  </si>
  <si>
    <t>Lv1 히어로 vs 하급 빌런 4</t>
    <phoneticPr fontId="4" type="noConversion"/>
  </si>
  <si>
    <t>남은 체력 합계</t>
    <phoneticPr fontId="4" type="noConversion"/>
  </si>
  <si>
    <t>자동 공식</t>
    <phoneticPr fontId="4" type="noConversion"/>
  </si>
  <si>
    <t>Lv3 히어로 vs 중급 빌런 4</t>
    <phoneticPr fontId="4" type="noConversion"/>
  </si>
  <si>
    <t>Lv6 히어로 vs 상급 빌런 4</t>
    <phoneticPr fontId="4" type="noConversion"/>
  </si>
  <si>
    <t>STEP 01. 승패 판정</t>
    <phoneticPr fontId="4" type="noConversion"/>
  </si>
  <si>
    <t>현재 체력 합계</t>
    <phoneticPr fontId="4" type="noConversion"/>
  </si>
  <si>
    <t>공격력 합계</t>
    <phoneticPr fontId="4" type="noConversion"/>
  </si>
  <si>
    <t>방어력 합계</t>
    <phoneticPr fontId="4" type="noConversion"/>
  </si>
  <si>
    <t>합계</t>
    <phoneticPr fontId="4" type="noConversion"/>
  </si>
  <si>
    <t>예시)</t>
    <phoneticPr fontId="4" type="noConversion"/>
  </si>
  <si>
    <t>이하 두 가지 요소를 비교하여 승패 판정
 A. 히어로 승리 지수 = 히어로 파티 기본 대미지 / 빌런 파티 현재 체력 합계
 B. 빌런 승리 지수 = 빌런 파티 기본 대미지 / 히어로 파티 현재 체력 합계
 히어로 파티 기본 대미지 = (히어로 파티 공격력 합계 - 빌런 파티 방어력 합계) × (히어로 파티 IP 합계 / 400) (최소치 12, 소수점은 반올림)
 빌런 파티 기본 대미지 = (빌런 파티 공격력 합계 - 히어로 파티 방어력 합계) (최소치 12, 소수점은 반올림)</t>
    <phoneticPr fontId="4" type="noConversion"/>
  </si>
  <si>
    <t>(1) A (히어로 승리 지수) = 25 / 40 = 약 63%
(2) B (빌런 승리 지수) = 12 / 22 = 약 55%
∴ A &gt; B (약 8% 초과) → 히어로 파티 승리 (난이도 표시창에 '우세' 표시)</t>
    <phoneticPr fontId="4" type="noConversion"/>
  </si>
  <si>
    <t>(1) A (히어로 승리 지수) &gt; B (빌런 승리 지수) (5% 초과)인 경우
 → 히어로 파티 승리
(2) A (히어로 승리 지수) &lt; B (빌런 승리 지수) (5% 초과)인 경우
 → 빌런 파티 승리
(3) A  (히어로 승리 지수) = B (빌런 승리 지수) 또는 차이가 5% 이하(접전 범위)로 차이나는 경우
 → 50% 확률 랜덤 승패 판정</t>
    <phoneticPr fontId="4" type="noConversion"/>
  </si>
  <si>
    <t>(1) A (히어로 승리 지수) = 15 / 80 = 약 19%
(2) B (빌런 승리 지수) = 24 / 37 = 약 65%
∴ A &lt; B (약 46% 초과) → 빌런 파티 승리 (난이도 표시창에 '열세' 표시)</t>
    <phoneticPr fontId="4" type="noConversion"/>
  </si>
  <si>
    <t>(1) A (히어로 승리 지수) = 29 / 80 = 약 36%
(2) B (빌런 승리 지수) = 18 / 47 = 약 38%
∴ A, B 차이가 5% 이하 → 히어로 파티 50% 승리 / 빌런 파티 50% 승리 (난이도 표시창에 '접전' 표시)</t>
    <phoneticPr fontId="4" type="noConversion"/>
  </si>
  <si>
    <t>STEP 02. 전투 후 남은 체력 계산</t>
    <phoneticPr fontId="4" type="noConversion"/>
  </si>
  <si>
    <t xml:space="preserve"> </t>
    <phoneticPr fontId="4" type="noConversion"/>
  </si>
  <si>
    <t>* 빌런이 승리한 경우
(1) 승리 측: 빌런 / 패배 측: 히어로
(2) 빌런 원래 HP 비율 = Enemy01 (25%) : Enemy02 (25%) : Enemy03 (25%) : Enemy04 (25%)
(3) 걸린 턴 수 = 패배 측 원래 HP 합계 ÷ 승리 측 기본 대미지 (소수점 버림) = 47 ÷ 18 = 2.6 ≒ 2
(4) 남은 HP 합계 공식 = 승리 측 원래 HP 합계 - (패배 측 기본 대미지 × 걸린 턴 수) (소수점 반올림) = 80 - (29 × 2) = 44
(5) 남은 HP 분배 = Enemy01 (25% = 11) : Enemy02 (25% = 11) : Enemy03 (25% = 11) : Enemy04 (25% = 11)</t>
    <phoneticPr fontId="4" type="noConversion"/>
  </si>
  <si>
    <t>전투 종료 후, 승리한 히어로/빌런 파티의 남은 HP는 파티의 남은 HP 합계를 계산 후 각 유닛의 원래 HP 비율대로 분배한다.
(1) 원래 HP 비율 공식 = 유닛 개별 체력 공식 ÷ 파티 전체 체력 (소수점 이하 나머지가 있을 시, 반올림 후 HP가 가장 낮은 유닛 하나에 분배하여 100%화, HP가 가장 낮은 유닛이 여럿 있을 경우 랜덤 선택)
(2) 접전이 아닌 경우, 남은 HP 공식 
{승리 측 원래 HP 합계 - (패배 측 기본 대미지 × 걸린 턴 수)} × 80% (소수점 반올림, 최소값 4)
걸린 턴 수 = 패배 측 원래 HP 합계 ÷ 승리 측 기본 대미지 (소수점 버림)
(3) 접전으로 랜덤 승리한 경우, 남은 HP 공식
승리 측 원래 HP 합계 - {(패배 측 기본 대미지 × 걸린 턴 수)} (소수점 반올림, 최소값 4)
걸린 턴 수 = 패배 측 원래 HP 합계 ÷ 승리 측 기본 대미지 (소수점 버림)</t>
    <phoneticPr fontId="4" type="noConversion"/>
  </si>
  <si>
    <t>(1) 승리 측: 빌런 / 패배 측: 히어로
(2) 빌런 원래 HP 비율 = Enemy01 (27%) : Enemy02 (22%) : Enemy03 (22%) : Enemy04 (30%)
(3) 걸린 턴 수 = 패배 측 원래 HP 합계 ÷ 승리 측 기본 대미지 (소수점 버림)  = 37 ÷ 24 = 1.54166 ≒ 1
(4) 남은 HP 합계 공식 = {승리 측 원래 HP 합계 - (패배 측 기본 대미지 × 걸린 턴 수)} × 80% (소수점 반올림) = {80 -  (15 × 1)} × 80% = 65 × 80% = 52
(5) 남은 HP 분배 = Enemy01 (25% = 13) : Enemy02 (25% = 13) : Enemy03 (25% = 13) : Enemy04 (25% = 13)</t>
    <phoneticPr fontId="4" type="noConversion"/>
  </si>
  <si>
    <t>* 히어로가 승리한 경우
(1) 승리 측: 히어로 / 패배 측: 빌런
(2) 히어로 원래 HP 비율 = 저스티스 (30%) :  루미나 (26%) : 블랙 불릿 (21%), 네코밍 (23%)
(3) 걸린 턴 수 = 패배 측 원래 HP 합계 ÷ 승리 측 기본 대미지 (소수점 버림) = 80 ÷ 29 = 2.758 ≒ 2
(4) 남은 HP 합계 공식 = 승리 측 원래 HP 합계 - (패배 측 기본 대미지 × 걸린 턴 수) (소수점 반올림) = 47 - (18 × 2) = 47 - 36 = 11
(5) 남은 HP 분배 = 저스티스 (30% = 3.27 → 3) :  루미나 (26% = 2.8 → 3) : 블랙 불릿 (21% = 2.34 → 2), 네코밍 (23% = 2.57 → 3)</t>
    <phoneticPr fontId="4" type="noConversion"/>
  </si>
  <si>
    <t>(1) 승리 측: 히어로 / 패배 측: 빌런
(2) 히어로 원래 HP 비율 = 저스티스 (27%) :  루미나 (18% → 19%) : 블랙 불릿 (27%), 네코밍 (27%)
(3) 걸린 턴 수 = 패배 측 원래 HP 합계 ÷ 승리 측 기본 대미지 (소수점 버림) = 40 ÷ 25 = 1.6 ≒ 1
(4) 남은 HP 합계 공식 = {승리 측 원래 HP 합계 - (패배 측 기본 대미지 × 걸린 턴 수)} × 80% (소수점 반올림) = {22 - (12 × 1)} × 80% = 10 × 80% = 8
(5) 남은 HP 분배 = 저스티스 (27% = 2.16 → 2) : 루미나 (19% = 1.52 → 1 → 2) : 블랙 불릿 (27% = 2.16 → 2) : 네코밍 (27% = 2.16 → 2)</t>
    <phoneticPr fontId="4" type="noConversion"/>
  </si>
  <si>
    <t>5. 자동 전투 시뮬레이터</t>
    <phoneticPr fontId="4" type="noConversion"/>
  </si>
  <si>
    <t>V7.2</t>
    <phoneticPr fontId="4" type="noConversion"/>
  </si>
  <si>
    <t>전투 시뮬레이터 수정</t>
    <phoneticPr fontId="4" type="noConversion"/>
  </si>
  <si>
    <t>자동 결과 공식 추가</t>
    <phoneticPr fontId="4" type="noConversion"/>
  </si>
  <si>
    <t>#DataName</t>
    <phoneticPr fontId="4" type="noConversion"/>
  </si>
  <si>
    <t>PlayerUnit</t>
    <phoneticPr fontId="4" type="noConversion"/>
  </si>
  <si>
    <t>EnemyUnit</t>
    <phoneticPr fontId="4" type="noConversion"/>
  </si>
  <si>
    <t>ClassSkill</t>
    <phoneticPr fontId="4" type="noConversion"/>
  </si>
  <si>
    <t>PlayerWeapon</t>
    <phoneticPr fontId="4" type="noConversion"/>
  </si>
  <si>
    <t>EnemyGroup</t>
    <phoneticPr fontId="4" type="noConversion"/>
  </si>
  <si>
    <t>UnitGrowthExp</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</si>
</sst>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yy\/mm\/dd\ \(aaa\)"/>
    <numFmt numFmtId="177" formatCode="0.0"/>
  </numFmts>
  <fonts count="18">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8"/>
      <name val="맑은 고딕"/>
      <family val="2"/>
      <charset val="129"/>
      <scheme val="minor"/>
    </font>
    <font>
      <sz val="24"/>
      <color theme="1"/>
      <name val="맑은 고딕"/>
      <family val="2"/>
      <charset val="129"/>
      <scheme val="minor"/>
    </font>
    <font>
      <sz val="11"/>
      <color theme="1"/>
      <name val="맑은 고딕"/>
      <family val="2"/>
      <charset val="129"/>
      <scheme val="minor"/>
    </font>
    <font>
      <sz val="11"/>
      <color theme="1"/>
      <name val="맑은 고딕"/>
      <family val="3"/>
      <charset val="129"/>
      <scheme val="minor"/>
    </font>
    <font>
      <sz val="11"/>
      <name val="맑은 고딕"/>
      <family val="2"/>
      <charset val="129"/>
      <scheme val="minor"/>
    </font>
    <font>
      <sz val="11"/>
      <name val="맑은 고딕"/>
      <family val="3"/>
      <charset val="129"/>
      <scheme val="minor"/>
    </font>
    <font>
      <b/>
      <sz val="11"/>
      <color theme="0"/>
      <name val="맑은 고딕"/>
      <family val="2"/>
      <charset val="129"/>
      <scheme val="minor"/>
    </font>
    <font>
      <b/>
      <sz val="11"/>
      <color rgb="FFFA7D00"/>
      <name val="맑은 고딕"/>
      <family val="2"/>
      <charset val="129"/>
      <scheme val="minor"/>
    </font>
    <font>
      <sz val="7"/>
      <color rgb="FF0D0D0D"/>
      <name val="Consolas"/>
      <family val="3"/>
    </font>
    <font>
      <u/>
      <sz val="11"/>
      <color theme="10"/>
      <name val="맑은 고딕"/>
      <family val="2"/>
      <charset val="129"/>
      <scheme val="minor"/>
    </font>
    <font>
      <sz val="8"/>
      <name val="맑은 고딕"/>
      <family val="3"/>
      <charset val="129"/>
      <scheme val="minor"/>
    </font>
    <font>
      <sz val="11"/>
      <color theme="1"/>
      <name val="맑은 고딕"/>
      <family val="2"/>
      <scheme val="minor"/>
    </font>
    <font>
      <sz val="16"/>
      <color theme="1"/>
      <name val="맑은 고딕"/>
      <family val="2"/>
      <charset val="129"/>
      <scheme val="minor"/>
    </font>
    <font>
      <sz val="22"/>
      <color theme="1"/>
      <name val="맑은 고딕"/>
      <family val="2"/>
      <charset val="129"/>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rgb="FFFFFFCC"/>
      </patternFill>
    </fill>
    <fill>
      <patternFill patternType="solid">
        <fgColor rgb="FFA5A5A5"/>
      </patternFill>
    </fill>
    <fill>
      <patternFill patternType="solid">
        <fgColor rgb="FFF2F2F2"/>
      </patternFill>
    </fill>
    <fill>
      <patternFill patternType="solid">
        <fgColor rgb="FFFFFF00"/>
        <bgColor indexed="64"/>
      </patternFill>
    </fill>
    <fill>
      <patternFill patternType="solid">
        <fgColor theme="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style="double">
        <color rgb="FF3F3F3F"/>
      </right>
      <top style="double">
        <color rgb="FF3F3F3F"/>
      </top>
      <bottom/>
      <diagonal/>
    </border>
  </borders>
  <cellStyleXfs count="11">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xf numFmtId="9" fontId="6" fillId="0" borderId="0" applyFont="0" applyFill="0" applyBorder="0" applyAlignment="0" applyProtection="0">
      <alignment vertical="center"/>
    </xf>
    <xf numFmtId="0" fontId="6" fillId="7" borderId="2" applyNumberFormat="0" applyFont="0" applyAlignment="0" applyProtection="0">
      <alignment vertical="center"/>
    </xf>
    <xf numFmtId="0" fontId="10" fillId="8" borderId="8" applyNumberFormat="0" applyAlignment="0" applyProtection="0">
      <alignment vertical="center"/>
    </xf>
    <xf numFmtId="0" fontId="11" fillId="9" borderId="9" applyNumberFormat="0" applyAlignment="0" applyProtection="0">
      <alignment vertical="center"/>
    </xf>
    <xf numFmtId="0" fontId="13" fillId="0" borderId="0" applyNumberFormat="0" applyFill="0" applyBorder="0" applyAlignment="0" applyProtection="0">
      <alignment vertical="center"/>
    </xf>
    <xf numFmtId="0" fontId="6" fillId="0" borderId="0">
      <alignment vertical="center"/>
    </xf>
    <xf numFmtId="0" fontId="15" fillId="0" borderId="0"/>
  </cellStyleXfs>
  <cellXfs count="160">
    <xf numFmtId="0" fontId="0" fillId="0" borderId="0" xfId="0">
      <alignment vertical="center"/>
    </xf>
    <xf numFmtId="0" fontId="0" fillId="5" borderId="0" xfId="0" applyFill="1">
      <alignment vertical="center"/>
    </xf>
    <xf numFmtId="0" fontId="0" fillId="5" borderId="1" xfId="0" applyFill="1" applyBorder="1">
      <alignment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2" fillId="3" borderId="1" xfId="2" applyBorder="1">
      <alignment vertical="center"/>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176" fontId="1" fillId="2" borderId="1" xfId="1" applyNumberFormat="1" applyBorder="1" applyAlignment="1">
      <alignment horizontal="center" vertical="center"/>
    </xf>
    <xf numFmtId="176" fontId="0" fillId="5" borderId="1" xfId="0" applyNumberFormat="1" applyFill="1" applyBorder="1" applyAlignment="1">
      <alignment horizontal="center" vertical="center"/>
    </xf>
    <xf numFmtId="0" fontId="5" fillId="5" borderId="0" xfId="0" applyFont="1" applyFill="1">
      <alignment vertical="center"/>
    </xf>
    <xf numFmtId="0" fontId="0" fillId="5" borderId="1" xfId="0" applyFill="1" applyBorder="1" applyAlignment="1">
      <alignment vertical="center" wrapText="1"/>
    </xf>
    <xf numFmtId="0" fontId="0" fillId="5" borderId="0" xfId="0" applyFill="1" applyAlignment="1">
      <alignment horizontal="center" vertical="center"/>
    </xf>
    <xf numFmtId="0" fontId="7" fillId="5" borderId="0" xfId="0" applyFont="1" applyFill="1">
      <alignment vertical="center"/>
    </xf>
    <xf numFmtId="0" fontId="0" fillId="5" borderId="1" xfId="0" applyFill="1" applyBorder="1" applyAlignment="1">
      <alignment horizontal="center" vertical="center" wrapText="1"/>
    </xf>
    <xf numFmtId="0" fontId="0" fillId="5" borderId="0" xfId="0" applyFill="1" applyAlignment="1">
      <alignment horizontal="left" vertical="center" wrapText="1"/>
    </xf>
    <xf numFmtId="0" fontId="0" fillId="5" borderId="1" xfId="0" applyFill="1" applyBorder="1" applyAlignment="1">
      <alignment horizontal="left" vertical="center"/>
    </xf>
    <xf numFmtId="0" fontId="7" fillId="5" borderId="1" xfId="0" applyFont="1" applyFill="1" applyBorder="1" applyAlignment="1">
      <alignment horizontal="center" vertical="center"/>
    </xf>
    <xf numFmtId="0" fontId="7" fillId="5" borderId="1" xfId="0" applyFont="1" applyFill="1" applyBorder="1">
      <alignment vertical="center"/>
    </xf>
    <xf numFmtId="0" fontId="7" fillId="5" borderId="0" xfId="0" applyFont="1" applyFill="1" applyAlignment="1">
      <alignment horizontal="center" vertical="center"/>
    </xf>
    <xf numFmtId="9" fontId="0" fillId="5" borderId="1" xfId="0" applyNumberFormat="1" applyFill="1" applyBorder="1" applyAlignment="1">
      <alignment horizontal="center" vertical="center"/>
    </xf>
    <xf numFmtId="9" fontId="0" fillId="5" borderId="1" xfId="4" applyFont="1" applyFill="1" applyBorder="1" applyAlignment="1">
      <alignment horizontal="center" vertical="center"/>
    </xf>
    <xf numFmtId="0" fontId="1" fillId="2" borderId="5" xfId="1" applyBorder="1" applyAlignment="1">
      <alignment horizontal="center" vertical="center"/>
    </xf>
    <xf numFmtId="0" fontId="0" fillId="5" borderId="5" xfId="0" applyFill="1" applyBorder="1" applyAlignment="1">
      <alignment horizontal="center" vertical="center"/>
    </xf>
    <xf numFmtId="0" fontId="0" fillId="6" borderId="5" xfId="0" applyFill="1" applyBorder="1" applyAlignment="1">
      <alignment horizontal="center" vertical="center"/>
    </xf>
    <xf numFmtId="0" fontId="1" fillId="2" borderId="7" xfId="1" applyBorder="1" applyAlignment="1">
      <alignment horizontal="center" vertical="center" wrapText="1"/>
    </xf>
    <xf numFmtId="0" fontId="1" fillId="2" borderId="7" xfId="1" applyBorder="1" applyAlignment="1">
      <alignment horizontal="center" vertical="center"/>
    </xf>
    <xf numFmtId="0" fontId="0" fillId="5" borderId="7" xfId="0" applyFill="1" applyBorder="1" applyAlignment="1">
      <alignment horizontal="center" vertical="center"/>
    </xf>
    <xf numFmtId="0" fontId="0" fillId="6" borderId="7" xfId="0" applyFill="1" applyBorder="1" applyAlignment="1">
      <alignment horizontal="center" vertical="center"/>
    </xf>
    <xf numFmtId="0" fontId="7"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9" fontId="0" fillId="6" borderId="1" xfId="0" applyNumberFormat="1" applyFill="1" applyBorder="1" applyAlignment="1">
      <alignment horizontal="center" vertical="center"/>
    </xf>
    <xf numFmtId="0" fontId="0" fillId="6" borderId="1" xfId="0" applyFill="1" applyBorder="1" applyAlignment="1">
      <alignment horizontal="left" vertical="center"/>
    </xf>
    <xf numFmtId="0" fontId="3" fillId="4" borderId="1" xfId="3" applyBorder="1" applyAlignment="1">
      <alignment horizontal="center" vertical="center"/>
    </xf>
    <xf numFmtId="9" fontId="3" fillId="4" borderId="1" xfId="3" applyNumberFormat="1" applyBorder="1" applyAlignment="1">
      <alignment horizontal="center" vertical="center"/>
    </xf>
    <xf numFmtId="0" fontId="0" fillId="5" borderId="0" xfId="0" applyFill="1" applyAlignment="1">
      <alignment horizontal="left" vertical="center"/>
    </xf>
    <xf numFmtId="0" fontId="2" fillId="3" borderId="1" xfId="2" applyBorder="1" applyAlignment="1">
      <alignment horizontal="center" vertical="center"/>
    </xf>
    <xf numFmtId="0" fontId="10" fillId="8" borderId="8" xfId="6" applyAlignment="1">
      <alignment horizontal="center" vertical="center"/>
    </xf>
    <xf numFmtId="0" fontId="7" fillId="5" borderId="1" xfId="0" applyFont="1" applyFill="1" applyBorder="1" applyAlignment="1">
      <alignment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12" fillId="0" borderId="0" xfId="0" applyFont="1">
      <alignment vertical="center"/>
    </xf>
    <xf numFmtId="0" fontId="0" fillId="7" borderId="1" xfId="5" applyFont="1" applyBorder="1" applyAlignment="1">
      <alignment horizontal="center" vertical="center"/>
    </xf>
    <xf numFmtId="0" fontId="2" fillId="3" borderId="1" xfId="2" applyBorder="1" applyAlignment="1">
      <alignment horizontal="left" vertical="center"/>
    </xf>
    <xf numFmtId="0" fontId="8" fillId="7" borderId="1" xfId="5" applyFont="1" applyBorder="1">
      <alignment vertical="center"/>
    </xf>
    <xf numFmtId="0" fontId="11" fillId="9" borderId="9" xfId="7">
      <alignment vertical="center"/>
    </xf>
    <xf numFmtId="0" fontId="11" fillId="9" borderId="9" xfId="7" applyAlignment="1">
      <alignment horizontal="center" vertical="center"/>
    </xf>
    <xf numFmtId="0" fontId="10" fillId="8" borderId="8" xfId="6">
      <alignment vertical="center"/>
    </xf>
    <xf numFmtId="0" fontId="2" fillId="3" borderId="1" xfId="2" applyBorder="1" applyAlignment="1">
      <alignment horizontal="left" vertical="center" wrapText="1"/>
    </xf>
    <xf numFmtId="9" fontId="11" fillId="9" borderId="1" xfId="4" applyFont="1" applyFill="1" applyBorder="1" applyAlignment="1">
      <alignment horizontal="center" vertical="center"/>
    </xf>
    <xf numFmtId="41" fontId="2" fillId="3" borderId="1" xfId="2" applyNumberFormat="1" applyBorder="1" applyAlignment="1">
      <alignment horizontal="center" vertical="center"/>
    </xf>
    <xf numFmtId="9" fontId="2" fillId="3" borderId="1" xfId="4" applyFont="1" applyFill="1" applyBorder="1" applyAlignment="1">
      <alignment horizontal="center" vertical="center"/>
    </xf>
    <xf numFmtId="41" fontId="11" fillId="9" borderId="1" xfId="4" applyNumberFormat="1" applyFont="1" applyFill="1" applyBorder="1" applyAlignment="1">
      <alignment horizontal="center" vertical="center"/>
    </xf>
    <xf numFmtId="0" fontId="1" fillId="2" borderId="1" xfId="1" applyBorder="1" applyAlignment="1">
      <alignment horizontal="center" vertical="center"/>
    </xf>
    <xf numFmtId="0" fontId="0" fillId="5" borderId="1" xfId="0" applyFill="1" applyBorder="1" applyAlignment="1">
      <alignment horizontal="left" vertical="center" wrapText="1"/>
    </xf>
    <xf numFmtId="0" fontId="1" fillId="2" borderId="1" xfId="1" applyBorder="1" applyAlignment="1">
      <alignment horizontal="center" vertical="center"/>
    </xf>
    <xf numFmtId="0" fontId="6" fillId="5" borderId="1" xfId="3" applyFont="1" applyFill="1" applyBorder="1" applyAlignment="1">
      <alignment horizontal="center" vertical="center"/>
    </xf>
    <xf numFmtId="0" fontId="6" fillId="5" borderId="1" xfId="0" applyFont="1" applyFill="1" applyBorder="1" applyAlignment="1">
      <alignment horizontal="center" vertical="center"/>
    </xf>
    <xf numFmtId="0" fontId="2" fillId="3" borderId="5" xfId="2" applyBorder="1" applyAlignment="1">
      <alignment horizontal="center" vertical="center"/>
    </xf>
    <xf numFmtId="0" fontId="8" fillId="7" borderId="5" xfId="5" applyFont="1" applyBorder="1" applyAlignment="1">
      <alignment horizontal="center" vertical="center"/>
    </xf>
    <xf numFmtId="0" fontId="11" fillId="9" borderId="10" xfId="7" applyBorder="1" applyAlignment="1">
      <alignment horizontal="center" vertical="center"/>
    </xf>
    <xf numFmtId="0" fontId="10" fillId="8" borderId="11" xfId="6" applyBorder="1" applyAlignment="1">
      <alignment horizontal="center" vertical="center"/>
    </xf>
    <xf numFmtId="0" fontId="5" fillId="5" borderId="0" xfId="0" applyFont="1" applyFill="1" applyAlignment="1">
      <alignment horizontal="left" vertical="center"/>
    </xf>
    <xf numFmtId="0" fontId="1" fillId="2" borderId="6" xfId="1" applyBorder="1" applyAlignment="1">
      <alignment horizontal="center" vertical="center"/>
    </xf>
    <xf numFmtId="0" fontId="1" fillId="2" borderId="6" xfId="1" applyBorder="1" applyAlignment="1">
      <alignment horizontal="center" vertical="center" wrapText="1"/>
    </xf>
    <xf numFmtId="177" fontId="0" fillId="7" borderId="1" xfId="5" applyNumberFormat="1" applyFont="1" applyBorder="1" applyAlignment="1">
      <alignment horizontal="center" vertical="center"/>
    </xf>
    <xf numFmtId="0" fontId="10" fillId="8" borderId="1" xfId="6" applyBorder="1" applyAlignment="1">
      <alignment horizontal="center" vertical="center"/>
    </xf>
    <xf numFmtId="0" fontId="7" fillId="5" borderId="0" xfId="0" applyFont="1" applyFill="1" applyBorder="1" applyAlignment="1">
      <alignment horizontal="center" vertical="center"/>
    </xf>
    <xf numFmtId="0" fontId="7" fillId="5" borderId="0" xfId="0" applyFont="1" applyFill="1" applyBorder="1">
      <alignment vertical="center"/>
    </xf>
    <xf numFmtId="0" fontId="0" fillId="5" borderId="1" xfId="0" applyFill="1" applyBorder="1" applyAlignment="1">
      <alignment horizontal="left" vertical="center" wrapText="1"/>
    </xf>
    <xf numFmtId="0" fontId="1" fillId="2" borderId="1" xfId="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0" fillId="5" borderId="0" xfId="0" applyFill="1" applyBorder="1" applyAlignment="1">
      <alignment horizontal="left" vertical="center" wrapText="1"/>
    </xf>
    <xf numFmtId="0" fontId="0" fillId="0" borderId="1" xfId="0" applyBorder="1" applyAlignment="1">
      <alignment horizontal="center" vertical="center"/>
    </xf>
    <xf numFmtId="0" fontId="10" fillId="8" borderId="8" xfId="6" applyAlignment="1">
      <alignment horizontal="left" vertical="center"/>
    </xf>
    <xf numFmtId="0" fontId="1" fillId="2" borderId="1" xfId="1" applyBorder="1" applyAlignment="1">
      <alignment horizontal="center" vertical="center" wrapText="1"/>
    </xf>
    <xf numFmtId="0" fontId="0" fillId="10" borderId="1" xfId="0" applyFill="1" applyBorder="1" applyAlignment="1">
      <alignment horizontal="left" vertical="center" wrapText="1"/>
    </xf>
    <xf numFmtId="0" fontId="0" fillId="5" borderId="1" xfId="0" applyFill="1" applyBorder="1" applyAlignment="1">
      <alignment horizontal="left" vertical="center" wrapText="1"/>
    </xf>
    <xf numFmtId="0" fontId="1" fillId="2" borderId="1" xfId="1" applyBorder="1" applyAlignment="1">
      <alignment horizontal="center" vertical="center" wrapText="1"/>
    </xf>
    <xf numFmtId="0" fontId="1" fillId="2" borderId="1" xfId="1" applyBorder="1" applyAlignment="1">
      <alignment horizontal="center" vertical="center"/>
    </xf>
    <xf numFmtId="9" fontId="0" fillId="6" borderId="1" xfId="4" applyFont="1" applyFill="1" applyBorder="1" applyAlignment="1">
      <alignment horizontal="center" vertical="center"/>
    </xf>
    <xf numFmtId="9" fontId="0" fillId="5" borderId="1" xfId="4" applyFont="1" applyFill="1" applyBorder="1" applyAlignment="1">
      <alignment horizontal="center" vertical="center" wrapText="1"/>
    </xf>
    <xf numFmtId="9" fontId="0" fillId="6" borderId="1" xfId="4" applyFont="1" applyFill="1" applyBorder="1" applyAlignment="1">
      <alignment horizontal="center" vertical="center" wrapText="1"/>
    </xf>
    <xf numFmtId="9" fontId="0" fillId="5" borderId="1" xfId="4" applyNumberFormat="1" applyFont="1" applyFill="1" applyBorder="1" applyAlignment="1">
      <alignment horizontal="center" vertical="center"/>
    </xf>
    <xf numFmtId="0" fontId="0" fillId="0" borderId="0" xfId="0" applyFill="1">
      <alignment vertical="center"/>
    </xf>
    <xf numFmtId="9" fontId="0" fillId="0" borderId="0" xfId="0" applyNumberFormat="1" applyFill="1">
      <alignment vertical="center"/>
    </xf>
    <xf numFmtId="0" fontId="0" fillId="0" borderId="0" xfId="0" applyFill="1" applyAlignment="1">
      <alignment vertical="center" wrapText="1"/>
    </xf>
    <xf numFmtId="0" fontId="0" fillId="0" borderId="0" xfId="0" applyFill="1" applyBorder="1" applyAlignment="1">
      <alignment horizontal="center" vertical="center" wrapText="1"/>
    </xf>
    <xf numFmtId="0" fontId="0" fillId="0" borderId="0" xfId="0" applyFill="1" applyAlignment="1">
      <alignment horizontal="center" vertical="center" wrapText="1"/>
    </xf>
    <xf numFmtId="3" fontId="0" fillId="0" borderId="0" xfId="0" applyNumberFormat="1" applyFill="1" applyBorder="1" applyAlignment="1">
      <alignment horizontal="center" vertical="center" wrapText="1"/>
    </xf>
    <xf numFmtId="0" fontId="8" fillId="0" borderId="0" xfId="0" applyFont="1">
      <alignment vertical="center"/>
    </xf>
    <xf numFmtId="0" fontId="9" fillId="0" borderId="0" xfId="1" applyFont="1" applyFill="1" applyBorder="1" applyAlignment="1">
      <alignment horizontal="left" vertical="center"/>
    </xf>
    <xf numFmtId="0" fontId="9" fillId="0" borderId="0" xfId="1" applyFont="1" applyFill="1" applyBorder="1" applyAlignment="1">
      <alignment horizontal="left" vertical="center" wrapText="1"/>
    </xf>
    <xf numFmtId="0" fontId="9" fillId="0" borderId="0" xfId="0" applyFont="1" applyFill="1" applyBorder="1" applyAlignment="1">
      <alignment horizontal="left" vertical="center"/>
    </xf>
    <xf numFmtId="9" fontId="9" fillId="0" borderId="0" xfId="4" applyFont="1" applyFill="1" applyBorder="1" applyAlignment="1">
      <alignment horizontal="left" vertical="center"/>
    </xf>
    <xf numFmtId="3" fontId="9" fillId="0" borderId="0" xfId="0" applyNumberFormat="1" applyFont="1" applyFill="1" applyBorder="1" applyAlignment="1">
      <alignment horizontal="left" vertical="center" wrapText="1"/>
    </xf>
    <xf numFmtId="0" fontId="9" fillId="0" borderId="0" xfId="1" applyFont="1" applyFill="1" applyBorder="1" applyAlignment="1">
      <alignment horizontal="center" vertical="center" wrapText="1"/>
    </xf>
    <xf numFmtId="0" fontId="9" fillId="0" borderId="0" xfId="5" applyFont="1" applyFill="1" applyBorder="1" applyAlignment="1">
      <alignment horizontal="center" vertical="center"/>
    </xf>
    <xf numFmtId="0" fontId="9" fillId="0" borderId="0" xfId="0" applyFont="1" applyFill="1" applyBorder="1" applyAlignment="1">
      <alignment horizontal="left" vertical="center" wrapText="1"/>
    </xf>
    <xf numFmtId="9" fontId="9" fillId="0" borderId="0" xfId="3" applyNumberFormat="1" applyFont="1" applyFill="1" applyBorder="1" applyAlignment="1">
      <alignment horizontal="left" vertical="center"/>
    </xf>
    <xf numFmtId="9" fontId="9" fillId="0" borderId="0" xfId="0" applyNumberFormat="1" applyFont="1" applyFill="1" applyBorder="1" applyAlignment="1">
      <alignment horizontal="left" vertical="center"/>
    </xf>
    <xf numFmtId="9" fontId="9" fillId="0" borderId="0" xfId="4" applyFont="1" applyFill="1" applyBorder="1" applyAlignment="1">
      <alignment horizontal="left" vertical="center" wrapText="1"/>
    </xf>
    <xf numFmtId="0" fontId="9" fillId="0" borderId="0" xfId="3" applyFont="1" applyFill="1" applyBorder="1" applyAlignment="1">
      <alignment horizontal="left" vertical="center"/>
    </xf>
    <xf numFmtId="0" fontId="9" fillId="0" borderId="0" xfId="0" applyFont="1" applyBorder="1" applyAlignment="1">
      <alignment horizontal="left" vertical="center"/>
    </xf>
    <xf numFmtId="0" fontId="8" fillId="0" borderId="0" xfId="1" applyFont="1" applyFill="1" applyBorder="1" applyAlignment="1">
      <alignment horizontal="left" vertical="center" wrapText="1"/>
    </xf>
    <xf numFmtId="9" fontId="0" fillId="0" borderId="0" xfId="4" applyFont="1">
      <alignment vertical="center"/>
    </xf>
    <xf numFmtId="0" fontId="11" fillId="9" borderId="1" xfId="7" applyBorder="1" applyAlignment="1">
      <alignment horizontal="center" vertical="center"/>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1" fillId="2" borderId="1" xfId="1" applyBorder="1" applyAlignment="1">
      <alignment horizontal="center" vertical="center" wrapText="1"/>
    </xf>
    <xf numFmtId="0" fontId="1" fillId="2" borderId="5" xfId="1"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xf>
    <xf numFmtId="0" fontId="0" fillId="0" borderId="0" xfId="0">
      <alignment vertical="center"/>
    </xf>
    <xf numFmtId="0" fontId="2" fillId="3" borderId="1" xfId="4" applyNumberFormat="1" applyFont="1" applyFill="1" applyBorder="1" applyAlignment="1">
      <alignment horizontal="center" vertical="center"/>
    </xf>
    <xf numFmtId="0" fontId="2" fillId="3" borderId="1" xfId="2" applyNumberFormat="1" applyBorder="1" applyAlignment="1">
      <alignment horizontal="center" vertical="center"/>
    </xf>
    <xf numFmtId="0" fontId="0" fillId="0" borderId="0" xfId="0" applyAlignment="1">
      <alignment horizontal="center" vertical="center"/>
    </xf>
    <xf numFmtId="0" fontId="9" fillId="7" borderId="1" xfId="5" applyFont="1" applyBorder="1" applyAlignment="1">
      <alignment horizontal="center"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3" fillId="4" borderId="0" xfId="3" applyAlignment="1">
      <alignment horizontal="center" vertical="center"/>
    </xf>
    <xf numFmtId="0" fontId="2" fillId="3" borderId="0" xfId="2" applyAlignment="1">
      <alignment horizontal="center" vertical="center"/>
    </xf>
    <xf numFmtId="0" fontId="6" fillId="0" borderId="0" xfId="9">
      <alignment vertical="center"/>
    </xf>
    <xf numFmtId="0" fontId="6" fillId="0" borderId="0" xfId="9" applyAlignment="1">
      <alignment vertical="center" wrapText="1"/>
    </xf>
    <xf numFmtId="0" fontId="15" fillId="0" borderId="0" xfId="10"/>
    <xf numFmtId="0" fontId="15" fillId="0" borderId="1" xfId="10" applyBorder="1"/>
    <xf numFmtId="0" fontId="6" fillId="0" borderId="1" xfId="9" applyBorder="1">
      <alignment vertical="center"/>
    </xf>
    <xf numFmtId="0" fontId="15" fillId="0" borderId="1" xfId="10" applyBorder="1" applyAlignment="1">
      <alignment horizontal="center"/>
    </xf>
    <xf numFmtId="0" fontId="6" fillId="0" borderId="1" xfId="9" applyBorder="1" applyAlignment="1">
      <alignment horizontal="center" vertical="center"/>
    </xf>
    <xf numFmtId="0" fontId="0" fillId="5" borderId="0" xfId="0" applyFill="1" applyAlignment="1">
      <alignment vertical="center"/>
    </xf>
    <xf numFmtId="0" fontId="16" fillId="5" borderId="0" xfId="0" applyFont="1" applyFill="1" applyAlignment="1">
      <alignment vertical="center"/>
    </xf>
    <xf numFmtId="0" fontId="0" fillId="11" borderId="1" xfId="0" applyFill="1" applyBorder="1" applyAlignment="1">
      <alignment horizontal="center" vertical="center"/>
    </xf>
    <xf numFmtId="0" fontId="16" fillId="5" borderId="0" xfId="0" applyFont="1" applyFill="1" applyAlignment="1">
      <alignment horizontal="left" vertical="center"/>
    </xf>
    <xf numFmtId="9" fontId="0" fillId="5" borderId="0" xfId="4" applyFont="1" applyFill="1" applyAlignment="1">
      <alignment horizontal="center" vertical="center"/>
    </xf>
    <xf numFmtId="0" fontId="17" fillId="5" borderId="0" xfId="0" applyFont="1" applyFill="1" applyAlignment="1">
      <alignment horizontal="left" vertical="center"/>
    </xf>
    <xf numFmtId="0" fontId="11" fillId="9" borderId="1" xfId="7" applyNumberFormat="1" applyBorder="1" applyAlignment="1">
      <alignment horizontal="center" vertical="center"/>
    </xf>
    <xf numFmtId="10" fontId="0" fillId="5" borderId="0" xfId="4" applyNumberFormat="1" applyFont="1" applyFill="1" applyAlignment="1">
      <alignment horizontal="center" vertical="center"/>
    </xf>
    <xf numFmtId="0" fontId="0" fillId="5" borderId="0" xfId="4" applyNumberFormat="1" applyFont="1" applyFill="1" applyAlignment="1">
      <alignment horizontal="center" vertical="center"/>
    </xf>
    <xf numFmtId="177" fontId="0" fillId="5" borderId="0" xfId="0" applyNumberFormat="1" applyFill="1" applyAlignment="1">
      <alignment horizontal="center" vertical="center"/>
    </xf>
    <xf numFmtId="0" fontId="0" fillId="0" borderId="0" xfId="9" applyFont="1">
      <alignment vertical="center"/>
    </xf>
    <xf numFmtId="0" fontId="0" fillId="5" borderId="1" xfId="0" applyFill="1" applyBorder="1" applyAlignment="1">
      <alignment horizontal="left" vertical="center" wrapText="1"/>
    </xf>
    <xf numFmtId="0" fontId="13" fillId="5" borderId="1" xfId="8"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1" fillId="2" borderId="3" xfId="1" applyBorder="1" applyAlignment="1">
      <alignment horizontal="center" vertical="center"/>
    </xf>
    <xf numFmtId="0" fontId="1" fillId="2" borderId="4" xfId="1" applyBorder="1" applyAlignment="1">
      <alignment horizontal="center" vertical="center"/>
    </xf>
    <xf numFmtId="0" fontId="1" fillId="2" borderId="5" xfId="1" applyBorder="1" applyAlignment="1">
      <alignment horizontal="center" vertical="center"/>
    </xf>
    <xf numFmtId="0" fontId="1" fillId="2" borderId="1" xfId="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lignment vertical="center"/>
    </xf>
    <xf numFmtId="0" fontId="6" fillId="0" borderId="0" xfId="9">
      <alignment vertical="center"/>
    </xf>
  </cellXfs>
  <cellStyles count="11">
    <cellStyle name="계산" xfId="7" builtinId="22"/>
    <cellStyle name="나쁨" xfId="2" builtinId="27"/>
    <cellStyle name="메모" xfId="5" builtinId="10"/>
    <cellStyle name="백분율" xfId="4" builtinId="5"/>
    <cellStyle name="보통" xfId="3" builtinId="28"/>
    <cellStyle name="셀 확인" xfId="6" builtinId="23"/>
    <cellStyle name="좋음" xfId="1" builtinId="26"/>
    <cellStyle name="표준" xfId="0" builtinId="0"/>
    <cellStyle name="표준 2" xfId="9" xr:uid="{A0008A51-86F1-41B6-9887-3C965A3B9CB2}"/>
    <cellStyle name="표준 3" xfId="10" xr:uid="{47827246-3E41-4988-B529-DE7AE93701C4}"/>
    <cellStyle name="하이퍼링크" xfId="8" builtinId="8"/>
  </cellStyles>
  <dxfs count="44">
    <dxf>
      <font>
        <color rgb="FF9C0006"/>
      </font>
      <fill>
        <patternFill>
          <bgColor rgb="FFFFC7CE"/>
        </patternFill>
      </fill>
    </dxf>
    <dxf>
      <font>
        <color rgb="FF9C0006"/>
      </font>
      <fill>
        <patternFill>
          <bgColor rgb="FFFFC7CE"/>
        </patternFill>
      </fill>
    </dxf>
    <dxf>
      <font>
        <b/>
        <i val="0"/>
        <color theme="4"/>
      </font>
      <fill>
        <patternFill>
          <bgColor theme="0" tint="-4.9989318521683403E-2"/>
        </patternFill>
      </fill>
    </dxf>
    <dxf>
      <font>
        <b/>
        <i val="0"/>
        <color rgb="FFC00000"/>
      </font>
      <fill>
        <patternFill>
          <bgColor theme="0" tint="-4.9989318521683403E-2"/>
        </patternFill>
      </fill>
    </dxf>
    <dxf>
      <font>
        <b/>
        <i val="0"/>
        <color theme="4"/>
      </font>
      <fill>
        <patternFill>
          <bgColor theme="0" tint="-4.9989318521683403E-2"/>
        </patternFill>
      </fill>
    </dxf>
    <dxf>
      <font>
        <b/>
        <i val="0"/>
        <color rgb="FFC00000"/>
      </font>
      <fill>
        <patternFill>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4"/>
      </font>
      <fill>
        <patternFill>
          <bgColor theme="0" tint="-4.9989318521683403E-2"/>
        </patternFill>
      </fill>
    </dxf>
    <dxf>
      <font>
        <b/>
        <i val="0"/>
        <color rgb="FFC00000"/>
      </font>
      <fill>
        <patternFill>
          <bgColor theme="0" tint="-4.9989318521683403E-2"/>
        </patternFill>
      </fill>
    </dxf>
    <dxf>
      <font>
        <b/>
        <i val="0"/>
        <color theme="4"/>
      </font>
      <fill>
        <patternFill>
          <bgColor theme="0" tint="-4.9989318521683403E-2"/>
        </patternFill>
      </fill>
    </dxf>
    <dxf>
      <font>
        <b/>
        <i val="0"/>
        <color rgb="FFC00000"/>
      </font>
      <fill>
        <patternFill>
          <bgColor theme="0" tint="-4.9989318521683403E-2"/>
        </patternFill>
      </fill>
    </dxf>
    <dxf>
      <font>
        <color rgb="FF9C0006"/>
      </font>
      <fill>
        <patternFill>
          <bgColor rgb="FFFFC7CE"/>
        </patternFill>
      </fill>
    </dxf>
    <dxf>
      <font>
        <b/>
        <i val="0"/>
        <color theme="4"/>
      </font>
      <fill>
        <patternFill>
          <bgColor theme="0" tint="-4.9989318521683403E-2"/>
        </patternFill>
      </fill>
    </dxf>
    <dxf>
      <font>
        <b/>
        <i val="0"/>
        <color rgb="FFC00000"/>
      </font>
      <fill>
        <patternFill>
          <bgColor theme="0" tint="-4.9989318521683403E-2"/>
        </patternFill>
      </fill>
    </dxf>
    <dxf>
      <font>
        <b/>
        <i val="0"/>
        <color theme="4"/>
      </font>
      <fill>
        <patternFill>
          <bgColor theme="0" tint="-4.9989318521683403E-2"/>
        </patternFill>
      </fill>
    </dxf>
    <dxf>
      <font>
        <b/>
        <i val="0"/>
        <color rgb="FFC00000"/>
      </font>
      <fill>
        <patternFill>
          <bgColor theme="0" tint="-4.9989318521683403E-2"/>
        </patternFill>
      </fill>
    </dxf>
    <dxf>
      <font>
        <color rgb="FF9C0006"/>
      </font>
      <fill>
        <patternFill>
          <bgColor rgb="FFFFC7CE"/>
        </patternFill>
      </fill>
    </dxf>
    <dxf>
      <font>
        <b/>
        <i val="0"/>
        <color theme="4"/>
      </font>
      <fill>
        <patternFill>
          <bgColor theme="0" tint="-4.9989318521683403E-2"/>
        </patternFill>
      </fill>
    </dxf>
    <dxf>
      <font>
        <b/>
        <i val="0"/>
        <color rgb="FFC00000"/>
      </font>
      <fill>
        <patternFill>
          <bgColor theme="0" tint="-4.9989318521683403E-2"/>
        </patternFill>
      </fill>
    </dxf>
    <dxf>
      <font>
        <b/>
        <i val="0"/>
        <color theme="4"/>
      </font>
      <fill>
        <patternFill>
          <bgColor theme="0" tint="-4.9989318521683403E-2"/>
        </patternFill>
      </fill>
    </dxf>
    <dxf>
      <font>
        <b/>
        <i val="0"/>
        <color rgb="FFC00000"/>
      </font>
      <fill>
        <patternFill>
          <bgColor theme="0" tint="-4.9989318521683403E-2"/>
        </patternFill>
      </fill>
    </dxf>
    <dxf>
      <font>
        <color rgb="FF9C0006"/>
      </font>
      <fill>
        <patternFill>
          <bgColor rgb="FFFFC7CE"/>
        </patternFill>
      </fill>
    </dxf>
    <dxf>
      <font>
        <b/>
        <i val="0"/>
        <color theme="4"/>
      </font>
      <fill>
        <patternFill>
          <bgColor theme="0" tint="-4.9989318521683403E-2"/>
        </patternFill>
      </fill>
    </dxf>
    <dxf>
      <font>
        <b/>
        <i val="0"/>
        <color rgb="FFC00000"/>
      </font>
      <fill>
        <patternFill>
          <bgColor theme="0" tint="-4.9989318521683403E-2"/>
        </patternFill>
      </fill>
    </dxf>
    <dxf>
      <font>
        <b/>
        <i val="0"/>
        <color theme="4"/>
      </font>
      <fill>
        <patternFill>
          <bgColor theme="0" tint="-4.9989318521683403E-2"/>
        </patternFill>
      </fill>
    </dxf>
    <dxf>
      <font>
        <b/>
        <i val="0"/>
        <color rgb="FFC00000"/>
      </font>
      <fill>
        <patternFill>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357188</xdr:colOff>
      <xdr:row>2</xdr:row>
      <xdr:rowOff>216011</xdr:rowOff>
    </xdr:from>
    <xdr:to>
      <xdr:col>12</xdr:col>
      <xdr:colOff>299203</xdr:colOff>
      <xdr:row>6</xdr:row>
      <xdr:rowOff>1102178</xdr:rowOff>
    </xdr:to>
    <xdr:pic>
      <xdr:nvPicPr>
        <xdr:cNvPr id="4" name="그림 3">
          <a:extLst>
            <a:ext uri="{FF2B5EF4-FFF2-40B4-BE49-F238E27FC236}">
              <a16:creationId xmlns:a16="http://schemas.microsoft.com/office/drawing/2014/main" id="{CC6A0D7A-AC6D-41BE-9F0E-4ADD401BE076}"/>
            </a:ext>
          </a:extLst>
        </xdr:cNvPr>
        <xdr:cNvPicPr>
          <a:picLocks noChangeAspect="1"/>
        </xdr:cNvPicPr>
      </xdr:nvPicPr>
      <xdr:blipFill>
        <a:blip xmlns:r="http://schemas.openxmlformats.org/officeDocument/2006/relationships" r:embed="rId1"/>
        <a:stretch>
          <a:fillRect/>
        </a:stretch>
      </xdr:blipFill>
      <xdr:spPr>
        <a:xfrm>
          <a:off x="11569474" y="875958"/>
          <a:ext cx="5167158" cy="3104131"/>
        </a:xfrm>
        <a:prstGeom prst="rect">
          <a:avLst/>
        </a:prstGeom>
      </xdr:spPr>
    </xdr:pic>
    <xdr:clientData/>
  </xdr:twoCellAnchor>
  <xdr:twoCellAnchor editAs="oneCell">
    <xdr:from>
      <xdr:col>4</xdr:col>
      <xdr:colOff>469448</xdr:colOff>
      <xdr:row>21</xdr:row>
      <xdr:rowOff>6803</xdr:rowOff>
    </xdr:from>
    <xdr:to>
      <xdr:col>8</xdr:col>
      <xdr:colOff>529228</xdr:colOff>
      <xdr:row>31</xdr:row>
      <xdr:rowOff>24566</xdr:rowOff>
    </xdr:to>
    <xdr:pic>
      <xdr:nvPicPr>
        <xdr:cNvPr id="5" name="그림 4">
          <a:extLst>
            <a:ext uri="{FF2B5EF4-FFF2-40B4-BE49-F238E27FC236}">
              <a16:creationId xmlns:a16="http://schemas.microsoft.com/office/drawing/2014/main" id="{CC187056-5CA2-48D7-970D-7A6FECD5A9F0}"/>
            </a:ext>
          </a:extLst>
        </xdr:cNvPr>
        <xdr:cNvPicPr>
          <a:picLocks noChangeAspect="1"/>
        </xdr:cNvPicPr>
      </xdr:nvPicPr>
      <xdr:blipFill>
        <a:blip xmlns:r="http://schemas.openxmlformats.org/officeDocument/2006/relationships" r:embed="rId2"/>
        <a:stretch>
          <a:fillRect/>
        </a:stretch>
      </xdr:blipFill>
      <xdr:spPr>
        <a:xfrm>
          <a:off x="11681734" y="12797517"/>
          <a:ext cx="2672351" cy="2616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12</xdr:col>
      <xdr:colOff>1394113</xdr:colOff>
      <xdr:row>104</xdr:row>
      <xdr:rowOff>11746</xdr:rowOff>
    </xdr:to>
    <xdr:pic>
      <xdr:nvPicPr>
        <xdr:cNvPr id="12" name="그림 11">
          <a:extLst>
            <a:ext uri="{FF2B5EF4-FFF2-40B4-BE49-F238E27FC236}">
              <a16:creationId xmlns:a16="http://schemas.microsoft.com/office/drawing/2014/main" id="{F4781A30-1D3F-4CD5-9099-1A42B258C0DE}"/>
            </a:ext>
          </a:extLst>
        </xdr:cNvPr>
        <xdr:cNvPicPr>
          <a:picLocks noChangeAspect="1"/>
        </xdr:cNvPicPr>
      </xdr:nvPicPr>
      <xdr:blipFill>
        <a:blip xmlns:r="http://schemas.openxmlformats.org/officeDocument/2006/relationships" r:embed="rId1"/>
        <a:stretch>
          <a:fillRect/>
        </a:stretch>
      </xdr:blipFill>
      <xdr:spPr>
        <a:xfrm>
          <a:off x="658091" y="25163318"/>
          <a:ext cx="19119273" cy="3258906"/>
        </a:xfrm>
        <a:prstGeom prst="rect">
          <a:avLst/>
        </a:prstGeom>
      </xdr:spPr>
    </xdr:pic>
    <xdr:clientData/>
  </xdr:twoCellAnchor>
  <xdr:twoCellAnchor editAs="oneCell">
    <xdr:from>
      <xdr:col>1</xdr:col>
      <xdr:colOff>0</xdr:colOff>
      <xdr:row>72</xdr:row>
      <xdr:rowOff>0</xdr:rowOff>
    </xdr:from>
    <xdr:to>
      <xdr:col>12</xdr:col>
      <xdr:colOff>1421137</xdr:colOff>
      <xdr:row>87</xdr:row>
      <xdr:rowOff>32015</xdr:rowOff>
    </xdr:to>
    <xdr:pic>
      <xdr:nvPicPr>
        <xdr:cNvPr id="13" name="그림 12">
          <a:extLst>
            <a:ext uri="{FF2B5EF4-FFF2-40B4-BE49-F238E27FC236}">
              <a16:creationId xmlns:a16="http://schemas.microsoft.com/office/drawing/2014/main" id="{0408BC09-3AE0-4FDD-A5F1-DFB21BA3A72D}"/>
            </a:ext>
          </a:extLst>
        </xdr:cNvPr>
        <xdr:cNvPicPr>
          <a:picLocks noChangeAspect="1"/>
        </xdr:cNvPicPr>
      </xdr:nvPicPr>
      <xdr:blipFill>
        <a:blip xmlns:r="http://schemas.openxmlformats.org/officeDocument/2006/relationships" r:embed="rId2"/>
        <a:stretch>
          <a:fillRect/>
        </a:stretch>
      </xdr:blipFill>
      <xdr:spPr>
        <a:xfrm>
          <a:off x="666752" y="21164552"/>
          <a:ext cx="19096072" cy="3175263"/>
        </a:xfrm>
        <a:prstGeom prst="rect">
          <a:avLst/>
        </a:prstGeom>
      </xdr:spPr>
    </xdr:pic>
    <xdr:clientData/>
  </xdr:twoCellAnchor>
  <xdr:twoCellAnchor editAs="oneCell">
    <xdr:from>
      <xdr:col>1</xdr:col>
      <xdr:colOff>1</xdr:colOff>
      <xdr:row>55</xdr:row>
      <xdr:rowOff>1</xdr:rowOff>
    </xdr:from>
    <xdr:to>
      <xdr:col>12</xdr:col>
      <xdr:colOff>1427894</xdr:colOff>
      <xdr:row>70</xdr:row>
      <xdr:rowOff>38771</xdr:rowOff>
    </xdr:to>
    <xdr:pic>
      <xdr:nvPicPr>
        <xdr:cNvPr id="14" name="그림 13">
          <a:extLst>
            <a:ext uri="{FF2B5EF4-FFF2-40B4-BE49-F238E27FC236}">
              <a16:creationId xmlns:a16="http://schemas.microsoft.com/office/drawing/2014/main" id="{66D884CF-6058-48CD-B11B-CA33D9BA0ACC}"/>
            </a:ext>
          </a:extLst>
        </xdr:cNvPr>
        <xdr:cNvPicPr>
          <a:picLocks noChangeAspect="1"/>
        </xdr:cNvPicPr>
      </xdr:nvPicPr>
      <xdr:blipFill>
        <a:blip xmlns:r="http://schemas.openxmlformats.org/officeDocument/2006/relationships" r:embed="rId3"/>
        <a:stretch>
          <a:fillRect/>
        </a:stretch>
      </xdr:blipFill>
      <xdr:spPr>
        <a:xfrm>
          <a:off x="658092" y="17803092"/>
          <a:ext cx="19153053" cy="32859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371061</xdr:colOff>
      <xdr:row>19</xdr:row>
      <xdr:rowOff>201267</xdr:rowOff>
    </xdr:from>
    <xdr:to>
      <xdr:col>2</xdr:col>
      <xdr:colOff>963268</xdr:colOff>
      <xdr:row>21</xdr:row>
      <xdr:rowOff>130864</xdr:rowOff>
    </xdr:to>
    <xdr:sp macro="" textlink="">
      <xdr:nvSpPr>
        <xdr:cNvPr id="18" name="직사각형 17">
          <a:extLst>
            <a:ext uri="{FF2B5EF4-FFF2-40B4-BE49-F238E27FC236}">
              <a16:creationId xmlns:a16="http://schemas.microsoft.com/office/drawing/2014/main" id="{16DAE82F-AE2B-4D1E-9814-3F5D62AAF92F}"/>
            </a:ext>
          </a:extLst>
        </xdr:cNvPr>
        <xdr:cNvSpPr/>
      </xdr:nvSpPr>
      <xdr:spPr>
        <a:xfrm>
          <a:off x="2361786" y="4947892"/>
          <a:ext cx="592207" cy="3566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30001</a:t>
          </a:r>
          <a:endParaRPr lang="ko-KR" altLang="en-US" sz="1100"/>
        </a:p>
      </xdr:txBody>
    </xdr:sp>
    <xdr:clientData/>
  </xdr:twoCellAnchor>
  <xdr:twoCellAnchor>
    <xdr:from>
      <xdr:col>2</xdr:col>
      <xdr:colOff>338758</xdr:colOff>
      <xdr:row>23</xdr:row>
      <xdr:rowOff>197954</xdr:rowOff>
    </xdr:from>
    <xdr:to>
      <xdr:col>2</xdr:col>
      <xdr:colOff>930965</xdr:colOff>
      <xdr:row>25</xdr:row>
      <xdr:rowOff>127552</xdr:rowOff>
    </xdr:to>
    <xdr:sp macro="" textlink="">
      <xdr:nvSpPr>
        <xdr:cNvPr id="19" name="직사각형 18">
          <a:extLst>
            <a:ext uri="{FF2B5EF4-FFF2-40B4-BE49-F238E27FC236}">
              <a16:creationId xmlns:a16="http://schemas.microsoft.com/office/drawing/2014/main" id="{D96B1D5E-AD62-4A40-8F7F-B975B3DECA3F}"/>
            </a:ext>
          </a:extLst>
        </xdr:cNvPr>
        <xdr:cNvSpPr/>
      </xdr:nvSpPr>
      <xdr:spPr>
        <a:xfrm>
          <a:off x="2324720" y="5808179"/>
          <a:ext cx="592207" cy="35663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altLang="ko-KR" sz="1100"/>
            <a:t>30002</a:t>
          </a:r>
          <a:endParaRPr lang="ko-KR" altLang="en-US" sz="1100"/>
        </a:p>
      </xdr:txBody>
    </xdr:sp>
    <xdr:clientData/>
  </xdr:twoCellAnchor>
  <xdr:twoCellAnchor>
    <xdr:from>
      <xdr:col>2</xdr:col>
      <xdr:colOff>354495</xdr:colOff>
      <xdr:row>27</xdr:row>
      <xdr:rowOff>192985</xdr:rowOff>
    </xdr:from>
    <xdr:to>
      <xdr:col>2</xdr:col>
      <xdr:colOff>946702</xdr:colOff>
      <xdr:row>29</xdr:row>
      <xdr:rowOff>122582</xdr:rowOff>
    </xdr:to>
    <xdr:sp macro="" textlink="">
      <xdr:nvSpPr>
        <xdr:cNvPr id="20" name="직사각형 19">
          <a:extLst>
            <a:ext uri="{FF2B5EF4-FFF2-40B4-BE49-F238E27FC236}">
              <a16:creationId xmlns:a16="http://schemas.microsoft.com/office/drawing/2014/main" id="{8E2430EE-9F0C-41C5-9715-2A542A93A1EE}"/>
            </a:ext>
          </a:extLst>
        </xdr:cNvPr>
        <xdr:cNvSpPr/>
      </xdr:nvSpPr>
      <xdr:spPr>
        <a:xfrm>
          <a:off x="2345220" y="6665222"/>
          <a:ext cx="587444" cy="36298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altLang="ko-KR" sz="1100"/>
            <a:t>30003</a:t>
          </a:r>
          <a:endParaRPr lang="ko-KR" altLang="en-US" sz="1100"/>
        </a:p>
      </xdr:txBody>
    </xdr:sp>
    <xdr:clientData/>
  </xdr:twoCellAnchor>
  <xdr:twoCellAnchor>
    <xdr:from>
      <xdr:col>2</xdr:col>
      <xdr:colOff>339585</xdr:colOff>
      <xdr:row>32</xdr:row>
      <xdr:rowOff>16565</xdr:rowOff>
    </xdr:from>
    <xdr:to>
      <xdr:col>2</xdr:col>
      <xdr:colOff>931792</xdr:colOff>
      <xdr:row>33</xdr:row>
      <xdr:rowOff>161510</xdr:rowOff>
    </xdr:to>
    <xdr:sp macro="" textlink="">
      <xdr:nvSpPr>
        <xdr:cNvPr id="21" name="직사각형 20">
          <a:extLst>
            <a:ext uri="{FF2B5EF4-FFF2-40B4-BE49-F238E27FC236}">
              <a16:creationId xmlns:a16="http://schemas.microsoft.com/office/drawing/2014/main" id="{06384DA6-51FC-46AD-B269-7A134CED4ADB}"/>
            </a:ext>
          </a:extLst>
        </xdr:cNvPr>
        <xdr:cNvSpPr/>
      </xdr:nvSpPr>
      <xdr:spPr>
        <a:xfrm>
          <a:off x="2325547" y="7565127"/>
          <a:ext cx="593795" cy="365608"/>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30004</a:t>
          </a:r>
          <a:endParaRPr lang="ko-KR" altLang="en-US" sz="1100"/>
        </a:p>
      </xdr:txBody>
    </xdr:sp>
    <xdr:clientData/>
  </xdr:twoCellAnchor>
  <xdr:twoCellAnchor>
    <xdr:from>
      <xdr:col>2</xdr:col>
      <xdr:colOff>342073</xdr:colOff>
      <xdr:row>36</xdr:row>
      <xdr:rowOff>106018</xdr:rowOff>
    </xdr:from>
    <xdr:to>
      <xdr:col>2</xdr:col>
      <xdr:colOff>934280</xdr:colOff>
      <xdr:row>38</xdr:row>
      <xdr:rowOff>90280</xdr:rowOff>
    </xdr:to>
    <xdr:sp macro="" textlink="">
      <xdr:nvSpPr>
        <xdr:cNvPr id="22" name="직사각형 21">
          <a:extLst>
            <a:ext uri="{FF2B5EF4-FFF2-40B4-BE49-F238E27FC236}">
              <a16:creationId xmlns:a16="http://schemas.microsoft.com/office/drawing/2014/main" id="{E590EEBE-9E57-4F48-ADF9-28FBE5A3F804}"/>
            </a:ext>
          </a:extLst>
        </xdr:cNvPr>
        <xdr:cNvSpPr/>
      </xdr:nvSpPr>
      <xdr:spPr>
        <a:xfrm>
          <a:off x="2329623" y="8522943"/>
          <a:ext cx="592207" cy="411299"/>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ko-KR" altLang="en-US" sz="500"/>
            <a:t>보스</a:t>
          </a:r>
          <a:endParaRPr lang="en-US" altLang="ko-KR" sz="500"/>
        </a:p>
        <a:p>
          <a:pPr algn="ctr"/>
          <a:r>
            <a:rPr lang="en-US" altLang="ko-KR" sz="1100"/>
            <a:t>30005</a:t>
          </a:r>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2113-028D-4F5A-981F-5AF98CC66DCF}">
  <dimension ref="A2:F41"/>
  <sheetViews>
    <sheetView zoomScale="70" zoomScaleNormal="70" workbookViewId="0">
      <selection activeCell="A2" sqref="A2"/>
    </sheetView>
  </sheetViews>
  <sheetFormatPr defaultColWidth="8.58203125" defaultRowHeight="17"/>
  <cols>
    <col min="1" max="1" width="5.58203125" style="1" customWidth="1"/>
    <col min="2" max="2" width="12.08203125" style="1" customWidth="1"/>
    <col min="3" max="3" width="12.5" style="1" bestFit="1" customWidth="1"/>
    <col min="4" max="4" width="11.33203125" style="1" bestFit="1" customWidth="1"/>
    <col min="5" max="5" width="47.1640625" style="1" customWidth="1"/>
    <col min="6" max="6" width="12.5" style="1" bestFit="1" customWidth="1"/>
    <col min="7" max="16384" width="8.58203125" style="1"/>
  </cols>
  <sheetData>
    <row r="2" spans="1:6" ht="36">
      <c r="A2" s="12" t="s">
        <v>354</v>
      </c>
      <c r="B2" s="12"/>
    </row>
    <row r="4" spans="1:6">
      <c r="B4" s="10" t="s">
        <v>52</v>
      </c>
      <c r="C4" s="10" t="s">
        <v>53</v>
      </c>
      <c r="D4" s="4" t="s">
        <v>57</v>
      </c>
      <c r="E4" s="4" t="s">
        <v>58</v>
      </c>
      <c r="F4" s="10" t="s">
        <v>59</v>
      </c>
    </row>
    <row r="5" spans="1:6" ht="34">
      <c r="B5" s="11">
        <v>46108</v>
      </c>
      <c r="C5" s="11" t="s">
        <v>55</v>
      </c>
      <c r="D5" s="6" t="s">
        <v>54</v>
      </c>
      <c r="E5" s="13" t="s">
        <v>61</v>
      </c>
      <c r="F5" s="11"/>
    </row>
    <row r="6" spans="1:6">
      <c r="B6" s="11">
        <v>46114</v>
      </c>
      <c r="C6" s="11" t="s">
        <v>56</v>
      </c>
      <c r="D6" s="6" t="s">
        <v>54</v>
      </c>
      <c r="E6" s="2" t="s">
        <v>211</v>
      </c>
      <c r="F6" s="11"/>
    </row>
    <row r="7" spans="1:6">
      <c r="B7" s="11">
        <v>46115</v>
      </c>
      <c r="C7" s="11" t="s">
        <v>212</v>
      </c>
      <c r="D7" s="6" t="s">
        <v>54</v>
      </c>
      <c r="E7" s="2" t="s">
        <v>249</v>
      </c>
      <c r="F7" s="11"/>
    </row>
    <row r="8" spans="1:6" ht="68">
      <c r="B8" s="11">
        <v>46119</v>
      </c>
      <c r="C8" s="11" t="s">
        <v>250</v>
      </c>
      <c r="D8" s="6" t="s">
        <v>54</v>
      </c>
      <c r="E8" s="13" t="s">
        <v>272</v>
      </c>
      <c r="F8" s="11"/>
    </row>
    <row r="9" spans="1:6" ht="34">
      <c r="B9" s="11">
        <v>46120</v>
      </c>
      <c r="C9" s="11" t="s">
        <v>305</v>
      </c>
      <c r="D9" s="6" t="s">
        <v>54</v>
      </c>
      <c r="E9" s="13" t="s">
        <v>317</v>
      </c>
      <c r="F9" s="11"/>
    </row>
    <row r="10" spans="1:6" ht="51">
      <c r="B10" s="11">
        <v>46121</v>
      </c>
      <c r="C10" s="11" t="s">
        <v>318</v>
      </c>
      <c r="D10" s="6" t="s">
        <v>54</v>
      </c>
      <c r="E10" s="13" t="s">
        <v>319</v>
      </c>
      <c r="F10" s="11"/>
    </row>
    <row r="11" spans="1:6">
      <c r="B11" s="11">
        <v>46125</v>
      </c>
      <c r="C11" s="11" t="s">
        <v>342</v>
      </c>
      <c r="D11" s="6" t="s">
        <v>54</v>
      </c>
      <c r="E11" s="13" t="s">
        <v>432</v>
      </c>
      <c r="F11" s="11"/>
    </row>
    <row r="12" spans="1:6" ht="119">
      <c r="B12" s="11">
        <v>46132</v>
      </c>
      <c r="C12" s="11" t="s">
        <v>345</v>
      </c>
      <c r="D12" s="6" t="s">
        <v>54</v>
      </c>
      <c r="E12" s="13" t="s">
        <v>433</v>
      </c>
      <c r="F12" s="11"/>
    </row>
    <row r="13" spans="1:6">
      <c r="B13" s="11">
        <v>46133</v>
      </c>
      <c r="C13" s="11" t="s">
        <v>403</v>
      </c>
      <c r="D13" s="6" t="s">
        <v>54</v>
      </c>
      <c r="E13" s="13" t="s">
        <v>404</v>
      </c>
      <c r="F13" s="11"/>
    </row>
    <row r="14" spans="1:6">
      <c r="B14" s="11">
        <v>46133</v>
      </c>
      <c r="C14" s="11" t="s">
        <v>408</v>
      </c>
      <c r="D14" s="6" t="s">
        <v>54</v>
      </c>
      <c r="E14" s="13" t="s">
        <v>421</v>
      </c>
      <c r="F14" s="11"/>
    </row>
    <row r="15" spans="1:6" ht="34">
      <c r="B15" s="11">
        <v>46141</v>
      </c>
      <c r="C15" s="11" t="s">
        <v>458</v>
      </c>
      <c r="D15" s="6" t="s">
        <v>54</v>
      </c>
      <c r="E15" s="13" t="s">
        <v>473</v>
      </c>
      <c r="F15" s="11"/>
    </row>
    <row r="16" spans="1:6" ht="68">
      <c r="B16" s="11">
        <v>46149</v>
      </c>
      <c r="C16" s="11" t="s">
        <v>493</v>
      </c>
      <c r="D16" s="6" t="s">
        <v>492</v>
      </c>
      <c r="E16" s="13" t="s">
        <v>500</v>
      </c>
      <c r="F16" s="11"/>
    </row>
    <row r="17" spans="1:6" ht="34">
      <c r="B17" s="11">
        <v>46150</v>
      </c>
      <c r="C17" s="11" t="s">
        <v>512</v>
      </c>
      <c r="D17" s="6" t="s">
        <v>54</v>
      </c>
      <c r="E17" s="13" t="s">
        <v>513</v>
      </c>
      <c r="F17" s="11"/>
    </row>
    <row r="18" spans="1:6" ht="85">
      <c r="B18" s="11">
        <v>46157</v>
      </c>
      <c r="C18" s="11" t="s">
        <v>532</v>
      </c>
      <c r="D18" s="6" t="s">
        <v>54</v>
      </c>
      <c r="E18" s="13" t="s">
        <v>633</v>
      </c>
      <c r="F18" s="11"/>
    </row>
    <row r="19" spans="1:6">
      <c r="B19" s="11">
        <v>46187</v>
      </c>
      <c r="C19" s="11" t="s">
        <v>664</v>
      </c>
      <c r="D19" s="6" t="s">
        <v>54</v>
      </c>
      <c r="E19" s="13" t="s">
        <v>665</v>
      </c>
      <c r="F19" s="11"/>
    </row>
    <row r="20" spans="1:6">
      <c r="B20" s="11">
        <v>46191</v>
      </c>
      <c r="C20" s="11" t="s">
        <v>753</v>
      </c>
      <c r="D20" s="6" t="s">
        <v>54</v>
      </c>
      <c r="E20" s="13" t="s">
        <v>754</v>
      </c>
      <c r="F20" s="11"/>
    </row>
    <row r="21" spans="1:6">
      <c r="B21" s="11">
        <v>46196</v>
      </c>
      <c r="C21" s="11" t="s">
        <v>764</v>
      </c>
      <c r="D21" s="6" t="s">
        <v>54</v>
      </c>
      <c r="E21" s="13" t="s">
        <v>886</v>
      </c>
      <c r="F21" s="11"/>
    </row>
    <row r="22" spans="1:6">
      <c r="B22" s="11">
        <v>46196</v>
      </c>
      <c r="C22" s="11" t="s">
        <v>885</v>
      </c>
      <c r="D22" s="6" t="s">
        <v>54</v>
      </c>
      <c r="E22" s="13" t="s">
        <v>887</v>
      </c>
      <c r="F22" s="11"/>
    </row>
    <row r="24" spans="1:6" ht="36">
      <c r="A24" s="12" t="s">
        <v>60</v>
      </c>
      <c r="B24" s="12"/>
    </row>
    <row r="25" spans="1:6" ht="120" customHeight="1">
      <c r="B25" s="143" t="s">
        <v>550</v>
      </c>
      <c r="C25" s="143"/>
      <c r="D25" s="143"/>
      <c r="E25" s="143"/>
      <c r="F25" s="143"/>
    </row>
    <row r="27" spans="1:6" ht="36">
      <c r="A27" s="12" t="s">
        <v>359</v>
      </c>
      <c r="B27" s="12"/>
    </row>
    <row r="28" spans="1:6" ht="164.25" customHeight="1">
      <c r="A28" s="12"/>
      <c r="B28" s="143" t="s">
        <v>551</v>
      </c>
      <c r="C28" s="143"/>
      <c r="D28" s="143"/>
      <c r="E28" s="143"/>
      <c r="F28" s="143"/>
    </row>
    <row r="29" spans="1:6">
      <c r="C29" s="75"/>
      <c r="D29" s="75"/>
      <c r="E29" s="75"/>
      <c r="F29" s="75"/>
    </row>
    <row r="30" spans="1:6" ht="36">
      <c r="A30" s="12" t="s">
        <v>360</v>
      </c>
      <c r="B30" s="12"/>
    </row>
    <row r="31" spans="1:6" ht="34.9" customHeight="1">
      <c r="A31" s="12"/>
      <c r="B31" s="143" t="s">
        <v>533</v>
      </c>
      <c r="C31" s="143"/>
      <c r="D31" s="143"/>
      <c r="E31" s="144" t="s">
        <v>535</v>
      </c>
      <c r="F31" s="144"/>
    </row>
    <row r="32" spans="1:6" ht="34.9" customHeight="1">
      <c r="A32" s="12"/>
      <c r="B32" s="143" t="s">
        <v>534</v>
      </c>
      <c r="C32" s="143"/>
      <c r="D32" s="143"/>
      <c r="E32" s="144" t="s">
        <v>536</v>
      </c>
      <c r="F32" s="144"/>
    </row>
    <row r="33" spans="1:6" ht="34.9" customHeight="1">
      <c r="A33" s="12"/>
      <c r="B33" s="143" t="s">
        <v>543</v>
      </c>
      <c r="C33" s="143"/>
      <c r="D33" s="143"/>
      <c r="E33" s="144" t="s">
        <v>537</v>
      </c>
      <c r="F33" s="144"/>
    </row>
    <row r="34" spans="1:6" ht="34.9" customHeight="1">
      <c r="A34" s="12"/>
      <c r="B34" s="143" t="s">
        <v>544</v>
      </c>
      <c r="C34" s="143"/>
      <c r="D34" s="143"/>
      <c r="E34" s="144" t="s">
        <v>538</v>
      </c>
      <c r="F34" s="144"/>
    </row>
    <row r="35" spans="1:6" ht="34.9" customHeight="1">
      <c r="A35" s="12"/>
      <c r="B35" s="143" t="s">
        <v>545</v>
      </c>
      <c r="C35" s="143"/>
      <c r="D35" s="143"/>
      <c r="E35" s="144" t="s">
        <v>539</v>
      </c>
      <c r="F35" s="144"/>
    </row>
    <row r="36" spans="1:6" ht="34.9" customHeight="1">
      <c r="A36" s="12"/>
      <c r="B36" s="143" t="s">
        <v>546</v>
      </c>
      <c r="C36" s="143"/>
      <c r="D36" s="143"/>
      <c r="E36" s="144" t="s">
        <v>540</v>
      </c>
      <c r="F36" s="144"/>
    </row>
    <row r="37" spans="1:6" ht="34.9" customHeight="1">
      <c r="A37" s="12"/>
      <c r="B37" s="143" t="s">
        <v>547</v>
      </c>
      <c r="C37" s="143"/>
      <c r="D37" s="143"/>
      <c r="E37" s="144" t="s">
        <v>541</v>
      </c>
      <c r="F37" s="144"/>
    </row>
    <row r="38" spans="1:6" ht="34.9" customHeight="1">
      <c r="A38" s="12"/>
      <c r="B38" s="143" t="s">
        <v>548</v>
      </c>
      <c r="C38" s="143"/>
      <c r="D38" s="143"/>
      <c r="E38" s="144" t="s">
        <v>542</v>
      </c>
      <c r="F38" s="144"/>
    </row>
    <row r="40" spans="1:6" ht="36">
      <c r="A40" s="12" t="s">
        <v>361</v>
      </c>
      <c r="B40" s="12"/>
    </row>
    <row r="41" spans="1:6" ht="95" customHeight="1">
      <c r="B41" s="145" t="s">
        <v>549</v>
      </c>
      <c r="C41" s="146"/>
      <c r="D41" s="146"/>
      <c r="E41" s="146"/>
      <c r="F41" s="147"/>
    </row>
  </sheetData>
  <mergeCells count="19">
    <mergeCell ref="B41:F41"/>
    <mergeCell ref="B25:F25"/>
    <mergeCell ref="B28:F28"/>
    <mergeCell ref="B31:D31"/>
    <mergeCell ref="E31:F31"/>
    <mergeCell ref="B32:D32"/>
    <mergeCell ref="E32:F32"/>
    <mergeCell ref="B33:D33"/>
    <mergeCell ref="E33:F33"/>
    <mergeCell ref="B35:D35"/>
    <mergeCell ref="E35:F35"/>
    <mergeCell ref="B34:D34"/>
    <mergeCell ref="E34:F34"/>
    <mergeCell ref="B36:D36"/>
    <mergeCell ref="E36:F36"/>
    <mergeCell ref="B38:D38"/>
    <mergeCell ref="E38:F38"/>
    <mergeCell ref="B37:D37"/>
    <mergeCell ref="E37:F37"/>
  </mergeCells>
  <phoneticPr fontId="4" type="noConversion"/>
  <hyperlinks>
    <hyperlink ref="E31:F31" location="스테이터스!A1" display="‘스테이터스’ 시트" xr:uid="{1F54D77E-790C-4B5C-AB45-02ABD2DAF460}"/>
    <hyperlink ref="E32:F32" location="'성장 시스템'!A1" display="‘성장 시스템’ 시트" xr:uid="{FB89F930-A8EF-416B-935E-16E783B012B4}"/>
    <hyperlink ref="E33:F33" location="'아군 유닛'!A1" display="‘아군 유닛’ 시트" xr:uid="{37E20B0B-30E4-4FC2-9C3C-064499223373}"/>
    <hyperlink ref="E34:F34" location="'적군 유닛'!A1" display="‘적군 유닛’ 시트" xr:uid="{CD8A4F41-0D06-4AB5-B107-292FCDCE2670}"/>
    <hyperlink ref="E35:F35" location="'직업 스킬'!A1" display="‘직업 스킬’ 시트" xr:uid="{AF396A14-A42D-4585-AAD6-09D133571A08}"/>
    <hyperlink ref="E36:F36" location="무기!A1" display="‘무기’ 시트" xr:uid="{63AF4BFB-7E39-4DF4-A9B2-D04952C7F2DE}"/>
    <hyperlink ref="E37:F37" location="'스탯 시뮬레이터'!A1" display="‘스탯 시뮬레이터’ 시트" xr:uid="{20170922-DB62-4CCE-8C9F-CC3826D67881}"/>
    <hyperlink ref="E38:F38" location="'전투 시뮬레이터'!A1" display="‘전투 시뮬레이터’ 시트" xr:uid="{75F07108-D2AE-4083-B151-1F77BC98A06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3B69-42FB-418E-A7B0-B7F239AB871C}">
  <dimension ref="A2:K27"/>
  <sheetViews>
    <sheetView zoomScale="70" zoomScaleNormal="70" workbookViewId="0"/>
  </sheetViews>
  <sheetFormatPr defaultColWidth="8.58203125" defaultRowHeight="17"/>
  <cols>
    <col min="1" max="1" width="8.58203125" style="1"/>
    <col min="2" max="2" width="18.25" style="1" customWidth="1"/>
    <col min="3" max="3" width="58.75" style="1" customWidth="1"/>
    <col min="4" max="4" width="61.58203125" style="1" customWidth="1"/>
    <col min="5" max="16384" width="8.58203125" style="1"/>
  </cols>
  <sheetData>
    <row r="2" spans="1:11" ht="36">
      <c r="A2" s="12" t="s">
        <v>306</v>
      </c>
    </row>
    <row r="3" spans="1:11">
      <c r="B3" s="1" t="s">
        <v>307</v>
      </c>
    </row>
    <row r="4" spans="1:11" ht="123.4" customHeight="1">
      <c r="B4" s="143" t="s">
        <v>434</v>
      </c>
      <c r="C4" s="143"/>
      <c r="D4" s="143"/>
    </row>
    <row r="6" spans="1:11">
      <c r="B6" s="1" t="s">
        <v>435</v>
      </c>
    </row>
    <row r="7" spans="1:11" ht="121.15" customHeight="1">
      <c r="B7" s="143" t="s">
        <v>436</v>
      </c>
      <c r="C7" s="143"/>
      <c r="D7" s="143"/>
    </row>
    <row r="9" spans="1:11" ht="36">
      <c r="A9" s="12" t="s">
        <v>308</v>
      </c>
    </row>
    <row r="10" spans="1:11">
      <c r="A10" s="15"/>
      <c r="B10" s="1" t="s">
        <v>65</v>
      </c>
    </row>
    <row r="11" spans="1:11">
      <c r="B11" s="4" t="s">
        <v>62</v>
      </c>
      <c r="C11" s="4" t="s">
        <v>63</v>
      </c>
      <c r="D11" s="4" t="s">
        <v>64</v>
      </c>
    </row>
    <row r="12" spans="1:11" ht="272">
      <c r="B12" s="6" t="s">
        <v>352</v>
      </c>
      <c r="C12" s="71" t="s">
        <v>423</v>
      </c>
      <c r="D12" s="71" t="s">
        <v>424</v>
      </c>
    </row>
    <row r="13" spans="1:11" ht="51">
      <c r="B13" s="6" t="s">
        <v>346</v>
      </c>
      <c r="C13" s="7" t="s">
        <v>349</v>
      </c>
      <c r="D13" s="7" t="s">
        <v>353</v>
      </c>
    </row>
    <row r="14" spans="1:11" ht="34">
      <c r="B14" s="6" t="s">
        <v>347</v>
      </c>
      <c r="C14" s="18" t="s">
        <v>350</v>
      </c>
      <c r="D14" s="7" t="s">
        <v>425</v>
      </c>
    </row>
    <row r="15" spans="1:11">
      <c r="B15" s="6" t="s">
        <v>348</v>
      </c>
      <c r="C15" s="18" t="s">
        <v>351</v>
      </c>
      <c r="D15" s="7"/>
    </row>
    <row r="16" spans="1:11" ht="102">
      <c r="B16" s="16" t="s">
        <v>426</v>
      </c>
      <c r="C16" s="7" t="s">
        <v>427</v>
      </c>
      <c r="D16" s="7" t="s">
        <v>428</v>
      </c>
      <c r="K16" s="43"/>
    </row>
    <row r="17" spans="2:4" ht="34">
      <c r="B17" s="6" t="s">
        <v>8</v>
      </c>
      <c r="C17" s="18" t="s">
        <v>355</v>
      </c>
      <c r="D17" s="7" t="s">
        <v>70</v>
      </c>
    </row>
    <row r="18" spans="2:4" ht="34">
      <c r="B18" s="16" t="s">
        <v>7</v>
      </c>
      <c r="C18" s="18" t="s">
        <v>356</v>
      </c>
      <c r="D18" s="7" t="s">
        <v>69</v>
      </c>
    </row>
    <row r="19" spans="2:4" ht="34">
      <c r="B19" s="6" t="s">
        <v>67</v>
      </c>
      <c r="C19" s="18" t="s">
        <v>357</v>
      </c>
      <c r="D19" s="7" t="s">
        <v>71</v>
      </c>
    </row>
    <row r="20" spans="2:4">
      <c r="B20" s="6" t="s">
        <v>4</v>
      </c>
      <c r="C20" s="18" t="s">
        <v>358</v>
      </c>
      <c r="D20" s="18" t="s">
        <v>68</v>
      </c>
    </row>
    <row r="21" spans="2:4">
      <c r="B21" s="17"/>
      <c r="C21" s="17"/>
      <c r="D21" s="17"/>
    </row>
    <row r="22" spans="2:4">
      <c r="B22" s="37" t="s">
        <v>437</v>
      </c>
      <c r="C22" s="17"/>
      <c r="D22" s="17"/>
    </row>
    <row r="23" spans="2:4">
      <c r="B23" s="4" t="s">
        <v>62</v>
      </c>
      <c r="C23" s="4" t="s">
        <v>63</v>
      </c>
      <c r="D23" s="4" t="s">
        <v>64</v>
      </c>
    </row>
    <row r="24" spans="2:4">
      <c r="B24" s="6" t="s">
        <v>438</v>
      </c>
      <c r="C24" s="18" t="s">
        <v>439</v>
      </c>
      <c r="D24" s="7" t="s">
        <v>440</v>
      </c>
    </row>
    <row r="25" spans="2:4" ht="34">
      <c r="B25" s="6" t="s">
        <v>441</v>
      </c>
      <c r="C25" s="7" t="s">
        <v>442</v>
      </c>
      <c r="D25" s="7" t="s">
        <v>443</v>
      </c>
    </row>
    <row r="26" spans="2:4">
      <c r="B26" s="6" t="s">
        <v>444</v>
      </c>
      <c r="C26" s="18" t="s">
        <v>445</v>
      </c>
      <c r="D26" s="7" t="s">
        <v>446</v>
      </c>
    </row>
    <row r="27" spans="2:4" ht="34">
      <c r="B27" s="6" t="s">
        <v>447</v>
      </c>
      <c r="C27" s="71" t="s">
        <v>448</v>
      </c>
      <c r="D27" s="71" t="s">
        <v>449</v>
      </c>
    </row>
  </sheetData>
  <mergeCells count="2">
    <mergeCell ref="B4:D4"/>
    <mergeCell ref="B7:D7"/>
  </mergeCells>
  <phoneticPr fontId="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E2BE-4112-4ED2-963F-F03823D626A5}">
  <dimension ref="A2:S48"/>
  <sheetViews>
    <sheetView zoomScale="85" zoomScaleNormal="85" workbookViewId="0">
      <selection activeCell="A2" sqref="A2"/>
    </sheetView>
  </sheetViews>
  <sheetFormatPr defaultColWidth="8.58203125" defaultRowHeight="17"/>
  <cols>
    <col min="1" max="1" width="8.58203125" style="1"/>
    <col min="2" max="7" width="15.58203125" style="1" customWidth="1"/>
    <col min="8" max="9" width="16.33203125" style="1" bestFit="1" customWidth="1"/>
    <col min="10" max="10" width="18.75" style="1" customWidth="1"/>
    <col min="11" max="11" width="20.33203125" style="1" bestFit="1" customWidth="1"/>
    <col min="12" max="21" width="15.58203125" style="1" customWidth="1"/>
    <col min="22" max="16384" width="8.58203125" style="1"/>
  </cols>
  <sheetData>
    <row r="2" spans="1:9" ht="36">
      <c r="A2" s="12" t="s">
        <v>72</v>
      </c>
    </row>
    <row r="3" spans="1:9" ht="198" customHeight="1">
      <c r="B3" s="143" t="s">
        <v>847</v>
      </c>
      <c r="C3" s="143"/>
      <c r="D3" s="143"/>
      <c r="E3" s="143"/>
      <c r="F3" s="143"/>
      <c r="G3" s="143"/>
      <c r="H3" s="143"/>
      <c r="I3" s="17"/>
    </row>
    <row r="5" spans="1:9" ht="36">
      <c r="A5" s="12" t="s">
        <v>370</v>
      </c>
    </row>
    <row r="6" spans="1:9" ht="260" customHeight="1">
      <c r="B6" s="143" t="s">
        <v>429</v>
      </c>
      <c r="C6" s="143"/>
      <c r="D6" s="143"/>
      <c r="E6" s="143"/>
      <c r="F6" s="143"/>
      <c r="G6" s="143"/>
      <c r="H6" s="143"/>
      <c r="I6" s="17"/>
    </row>
    <row r="8" spans="1:9" ht="36">
      <c r="A8" s="12" t="s">
        <v>362</v>
      </c>
    </row>
    <row r="9" spans="1:9" ht="145.15" customHeight="1">
      <c r="A9" s="12"/>
      <c r="B9" s="143" t="s">
        <v>528</v>
      </c>
      <c r="C9" s="143"/>
      <c r="D9" s="143"/>
      <c r="E9" s="143"/>
      <c r="F9" s="143"/>
      <c r="G9" s="143"/>
      <c r="H9" s="143"/>
    </row>
    <row r="11" spans="1:9">
      <c r="B11" s="72" t="s">
        <v>383</v>
      </c>
      <c r="C11" s="72" t="s">
        <v>371</v>
      </c>
      <c r="D11" s="72" t="s">
        <v>347</v>
      </c>
      <c r="E11" s="72" t="s">
        <v>348</v>
      </c>
    </row>
    <row r="12" spans="1:9">
      <c r="B12" s="72"/>
      <c r="C12" s="35">
        <v>1</v>
      </c>
      <c r="D12" s="35">
        <v>1</v>
      </c>
      <c r="E12" s="35">
        <v>1</v>
      </c>
    </row>
    <row r="14" spans="1:9" ht="34">
      <c r="B14" s="74" t="s">
        <v>384</v>
      </c>
      <c r="C14" s="72" t="s">
        <v>371</v>
      </c>
      <c r="D14" s="72" t="s">
        <v>347</v>
      </c>
      <c r="E14" s="72" t="s">
        <v>348</v>
      </c>
    </row>
    <row r="15" spans="1:9">
      <c r="B15" s="72" t="s">
        <v>452</v>
      </c>
      <c r="C15" s="73">
        <v>2</v>
      </c>
      <c r="D15" s="73">
        <v>1</v>
      </c>
      <c r="E15" s="73">
        <v>0</v>
      </c>
    </row>
    <row r="16" spans="1:9">
      <c r="B16" s="72" t="s">
        <v>453</v>
      </c>
      <c r="C16" s="73">
        <v>0</v>
      </c>
      <c r="D16" s="73">
        <v>2</v>
      </c>
      <c r="E16" s="73">
        <v>0</v>
      </c>
    </row>
    <row r="17" spans="1:19">
      <c r="B17" s="72" t="s">
        <v>454</v>
      </c>
      <c r="C17" s="73">
        <v>1</v>
      </c>
      <c r="D17" s="73">
        <v>1</v>
      </c>
      <c r="E17" s="73">
        <v>0</v>
      </c>
    </row>
    <row r="18" spans="1:19">
      <c r="B18" s="72" t="s">
        <v>455</v>
      </c>
      <c r="C18" s="73">
        <v>1</v>
      </c>
      <c r="D18" s="73">
        <v>0</v>
      </c>
      <c r="E18" s="73">
        <v>1</v>
      </c>
    </row>
    <row r="19" spans="1:19">
      <c r="B19" s="72" t="s">
        <v>457</v>
      </c>
      <c r="C19" s="73">
        <v>0</v>
      </c>
      <c r="D19" s="73">
        <v>1</v>
      </c>
      <c r="E19" s="73">
        <v>1</v>
      </c>
    </row>
    <row r="21" spans="1:19" ht="36">
      <c r="A21" s="12" t="s">
        <v>74</v>
      </c>
    </row>
    <row r="22" spans="1:19" ht="305.25" customHeight="1">
      <c r="B22" s="143" t="s">
        <v>450</v>
      </c>
      <c r="C22" s="143"/>
      <c r="D22" s="143"/>
      <c r="E22" s="143"/>
      <c r="F22" s="143"/>
      <c r="G22" s="143"/>
      <c r="H22" s="143"/>
      <c r="I22" s="17"/>
    </row>
    <row r="27" spans="1:19">
      <c r="S27" s="1" t="s">
        <v>459</v>
      </c>
    </row>
    <row r="38" spans="18:19">
      <c r="S38" s="1" t="s">
        <v>460</v>
      </c>
    </row>
    <row r="48" spans="18:19">
      <c r="R48" s="1" t="s">
        <v>461</v>
      </c>
    </row>
  </sheetData>
  <mergeCells count="4">
    <mergeCell ref="B3:H3"/>
    <mergeCell ref="B6:H6"/>
    <mergeCell ref="B22:H22"/>
    <mergeCell ref="B9:H9"/>
  </mergeCells>
  <phoneticPr fontId="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D80AB-3F8B-4848-807B-3D7386D79971}">
  <dimension ref="A2:I94"/>
  <sheetViews>
    <sheetView zoomScaleNormal="100" workbookViewId="0"/>
  </sheetViews>
  <sheetFormatPr defaultColWidth="8.58203125" defaultRowHeight="17"/>
  <cols>
    <col min="1" max="1" width="8.58203125" style="1"/>
    <col min="2" max="2" width="25" style="1" bestFit="1" customWidth="1"/>
    <col min="3" max="3" width="29.33203125" style="1" bestFit="1" customWidth="1"/>
    <col min="4" max="4" width="8.58203125" style="1"/>
    <col min="5" max="5" width="120.83203125" style="1" customWidth="1"/>
    <col min="6" max="6" width="8.58203125" style="1"/>
    <col min="7" max="7" width="9.83203125" style="1" bestFit="1" customWidth="1"/>
    <col min="8" max="8" width="13.58203125" style="1" bestFit="1" customWidth="1"/>
    <col min="9" max="9" width="12.58203125" style="1" bestFit="1" customWidth="1"/>
    <col min="10" max="10" width="13.33203125" style="1" bestFit="1" customWidth="1"/>
    <col min="11" max="11" width="8.5" style="1" bestFit="1" customWidth="1"/>
    <col min="12" max="16384" width="8.58203125" style="1"/>
  </cols>
  <sheetData>
    <row r="2" spans="1:5" ht="36">
      <c r="A2" s="12" t="s">
        <v>94</v>
      </c>
    </row>
    <row r="3" spans="1:5">
      <c r="B3" s="4" t="s">
        <v>81</v>
      </c>
      <c r="C3" s="4" t="s">
        <v>82</v>
      </c>
      <c r="D3" s="4" t="s">
        <v>83</v>
      </c>
      <c r="E3" s="4" t="s">
        <v>84</v>
      </c>
    </row>
    <row r="4" spans="1:5">
      <c r="B4" s="19" t="s">
        <v>91</v>
      </c>
      <c r="C4" s="19" t="s">
        <v>108</v>
      </c>
      <c r="D4" s="19" t="s">
        <v>85</v>
      </c>
      <c r="E4" s="20" t="s">
        <v>90</v>
      </c>
    </row>
    <row r="5" spans="1:5">
      <c r="B5" s="19" t="s">
        <v>95</v>
      </c>
      <c r="C5" s="19" t="s">
        <v>96</v>
      </c>
      <c r="D5" s="19" t="s">
        <v>85</v>
      </c>
      <c r="E5" s="20" t="s">
        <v>97</v>
      </c>
    </row>
    <row r="6" spans="1:5">
      <c r="B6" s="19" t="s">
        <v>451</v>
      </c>
      <c r="C6" s="19" t="s">
        <v>343</v>
      </c>
      <c r="D6" s="19" t="s">
        <v>85</v>
      </c>
      <c r="E6" s="20" t="s">
        <v>344</v>
      </c>
    </row>
    <row r="7" spans="1:5">
      <c r="B7" s="6" t="s">
        <v>35</v>
      </c>
      <c r="C7" s="6" t="s">
        <v>34</v>
      </c>
      <c r="D7" s="6" t="s">
        <v>85</v>
      </c>
      <c r="E7" s="2" t="s">
        <v>456</v>
      </c>
    </row>
    <row r="8" spans="1:5">
      <c r="B8" s="6" t="s">
        <v>109</v>
      </c>
      <c r="C8" s="6" t="s">
        <v>110</v>
      </c>
      <c r="D8" s="6" t="s">
        <v>85</v>
      </c>
      <c r="E8" s="20" t="s">
        <v>111</v>
      </c>
    </row>
    <row r="9" spans="1:5" ht="34">
      <c r="B9" s="6" t="s">
        <v>80</v>
      </c>
      <c r="C9" s="6" t="s">
        <v>98</v>
      </c>
      <c r="D9" s="6" t="s">
        <v>85</v>
      </c>
      <c r="E9" s="13" t="s">
        <v>100</v>
      </c>
    </row>
    <row r="10" spans="1:5" ht="34">
      <c r="B10" s="6" t="s">
        <v>36</v>
      </c>
      <c r="C10" s="6" t="s">
        <v>37</v>
      </c>
      <c r="D10" s="6" t="s">
        <v>85</v>
      </c>
      <c r="E10" s="13" t="s">
        <v>99</v>
      </c>
    </row>
    <row r="12" spans="1:5" ht="36">
      <c r="A12" s="12" t="s">
        <v>160</v>
      </c>
    </row>
    <row r="13" spans="1:5" ht="36">
      <c r="A13" s="12"/>
      <c r="B13" s="4" t="s">
        <v>81</v>
      </c>
      <c r="C13" s="4" t="s">
        <v>82</v>
      </c>
      <c r="D13" s="4" t="s">
        <v>83</v>
      </c>
      <c r="E13" s="4" t="s">
        <v>84</v>
      </c>
    </row>
    <row r="14" spans="1:5">
      <c r="B14" s="6" t="s">
        <v>371</v>
      </c>
      <c r="C14" s="6" t="s">
        <v>379</v>
      </c>
      <c r="D14" s="6" t="s">
        <v>85</v>
      </c>
      <c r="E14" s="2" t="s">
        <v>380</v>
      </c>
    </row>
    <row r="15" spans="1:5">
      <c r="B15" s="6" t="s">
        <v>347</v>
      </c>
      <c r="C15" s="6" t="s">
        <v>378</v>
      </c>
      <c r="D15" s="6" t="s">
        <v>85</v>
      </c>
      <c r="E15" s="2" t="s">
        <v>381</v>
      </c>
    </row>
    <row r="16" spans="1:5">
      <c r="B16" s="6" t="s">
        <v>348</v>
      </c>
      <c r="C16" s="6" t="s">
        <v>377</v>
      </c>
      <c r="D16" s="6" t="s">
        <v>85</v>
      </c>
      <c r="E16" s="2" t="s">
        <v>382</v>
      </c>
    </row>
    <row r="17" spans="1:9">
      <c r="B17" s="6" t="s">
        <v>8</v>
      </c>
      <c r="C17" s="6" t="s">
        <v>2</v>
      </c>
      <c r="D17" s="6" t="s">
        <v>85</v>
      </c>
      <c r="E17" s="2" t="s">
        <v>260</v>
      </c>
    </row>
    <row r="18" spans="1:9">
      <c r="B18" s="6" t="s">
        <v>7</v>
      </c>
      <c r="C18" s="6" t="s">
        <v>5</v>
      </c>
      <c r="D18" s="6" t="s">
        <v>85</v>
      </c>
      <c r="E18" s="2" t="s">
        <v>261</v>
      </c>
    </row>
    <row r="19" spans="1:9">
      <c r="B19" s="6" t="s">
        <v>88</v>
      </c>
      <c r="C19" s="6" t="s">
        <v>139</v>
      </c>
      <c r="D19" s="6" t="s">
        <v>85</v>
      </c>
      <c r="E19" s="2" t="s">
        <v>262</v>
      </c>
    </row>
    <row r="20" spans="1:9">
      <c r="B20" s="6" t="s">
        <v>4</v>
      </c>
      <c r="C20" s="6" t="s">
        <v>3</v>
      </c>
      <c r="D20" s="6" t="s">
        <v>85</v>
      </c>
      <c r="E20" s="2" t="s">
        <v>93</v>
      </c>
    </row>
    <row r="21" spans="1:9">
      <c r="B21" s="14"/>
      <c r="C21" s="14"/>
      <c r="D21" s="14"/>
    </row>
    <row r="22" spans="1:9" ht="36">
      <c r="A22" s="12" t="s">
        <v>171</v>
      </c>
      <c r="B22" s="21"/>
      <c r="C22" s="21"/>
      <c r="D22" s="21"/>
      <c r="E22" s="15"/>
    </row>
    <row r="23" spans="1:9">
      <c r="B23" s="4" t="s">
        <v>81</v>
      </c>
      <c r="C23" s="4" t="s">
        <v>82</v>
      </c>
      <c r="D23" s="4" t="s">
        <v>83</v>
      </c>
      <c r="E23" s="4" t="s">
        <v>84</v>
      </c>
    </row>
    <row r="24" spans="1:9">
      <c r="B24" s="6" t="s">
        <v>12</v>
      </c>
      <c r="C24" s="6" t="s">
        <v>182</v>
      </c>
      <c r="D24" s="6" t="s">
        <v>85</v>
      </c>
      <c r="E24" s="2" t="s">
        <v>511</v>
      </c>
    </row>
    <row r="25" spans="1:9">
      <c r="B25" s="6" t="s">
        <v>180</v>
      </c>
      <c r="C25" s="6" t="s">
        <v>181</v>
      </c>
      <c r="D25" s="6" t="s">
        <v>85</v>
      </c>
      <c r="E25" s="2" t="s">
        <v>411</v>
      </c>
    </row>
    <row r="26" spans="1:9">
      <c r="B26" s="6" t="s">
        <v>409</v>
      </c>
      <c r="C26" s="6" t="s">
        <v>410</v>
      </c>
      <c r="D26" s="6" t="s">
        <v>85</v>
      </c>
      <c r="E26" s="2" t="s">
        <v>422</v>
      </c>
    </row>
    <row r="27" spans="1:9" ht="68">
      <c r="B27" s="6" t="s">
        <v>183</v>
      </c>
      <c r="C27" s="6" t="s">
        <v>184</v>
      </c>
      <c r="D27" s="6" t="s">
        <v>85</v>
      </c>
      <c r="E27" s="13" t="s">
        <v>210</v>
      </c>
    </row>
    <row r="28" spans="1:9" ht="85">
      <c r="B28" s="6" t="s">
        <v>265</v>
      </c>
      <c r="C28" s="6" t="s">
        <v>266</v>
      </c>
      <c r="D28" s="6" t="s">
        <v>101</v>
      </c>
      <c r="E28" s="13" t="s">
        <v>501</v>
      </c>
    </row>
    <row r="29" spans="1:9" ht="51">
      <c r="B29" s="6" t="s">
        <v>269</v>
      </c>
      <c r="C29" s="6" t="s">
        <v>268</v>
      </c>
      <c r="D29" s="6" t="s">
        <v>270</v>
      </c>
      <c r="E29" s="13" t="s">
        <v>275</v>
      </c>
      <c r="G29" s="6">
        <v>8</v>
      </c>
      <c r="H29" s="6">
        <v>1</v>
      </c>
      <c r="I29" s="6">
        <v>2</v>
      </c>
    </row>
    <row r="30" spans="1:9">
      <c r="B30" s="6" t="s">
        <v>276</v>
      </c>
      <c r="C30" s="6" t="s">
        <v>271</v>
      </c>
      <c r="D30" s="6" t="s">
        <v>270</v>
      </c>
      <c r="E30" s="13" t="s">
        <v>274</v>
      </c>
      <c r="G30" s="6">
        <v>7</v>
      </c>
      <c r="H30" s="6" t="s">
        <v>267</v>
      </c>
      <c r="I30" s="6">
        <v>3</v>
      </c>
    </row>
    <row r="31" spans="1:9" ht="34">
      <c r="B31" s="6" t="s">
        <v>649</v>
      </c>
      <c r="C31" s="6" t="s">
        <v>647</v>
      </c>
      <c r="D31" s="16" t="s">
        <v>89</v>
      </c>
      <c r="E31" s="13" t="s">
        <v>646</v>
      </c>
      <c r="G31" s="6">
        <v>6</v>
      </c>
      <c r="H31" s="6">
        <v>5</v>
      </c>
      <c r="I31" s="6">
        <v>4</v>
      </c>
    </row>
    <row r="32" spans="1:9" ht="34">
      <c r="B32" s="6" t="s">
        <v>650</v>
      </c>
      <c r="C32" s="6" t="s">
        <v>648</v>
      </c>
      <c r="D32" s="16" t="s">
        <v>89</v>
      </c>
      <c r="E32" s="13" t="s">
        <v>273</v>
      </c>
      <c r="G32" s="6" t="s">
        <v>491</v>
      </c>
      <c r="H32" s="6">
        <v>9</v>
      </c>
    </row>
    <row r="33" spans="1:5">
      <c r="B33" s="6" t="s">
        <v>397</v>
      </c>
      <c r="C33" s="6" t="s">
        <v>396</v>
      </c>
      <c r="D33" s="16" t="s">
        <v>395</v>
      </c>
      <c r="E33" s="13" t="s">
        <v>398</v>
      </c>
    </row>
    <row r="35" spans="1:5" ht="36">
      <c r="A35" s="12" t="s">
        <v>162</v>
      </c>
    </row>
    <row r="36" spans="1:5">
      <c r="B36" s="4" t="s">
        <v>81</v>
      </c>
      <c r="C36" s="4" t="s">
        <v>82</v>
      </c>
      <c r="D36" s="4" t="s">
        <v>83</v>
      </c>
      <c r="E36" s="4" t="s">
        <v>84</v>
      </c>
    </row>
    <row r="37" spans="1:5">
      <c r="B37" s="76" t="s">
        <v>91</v>
      </c>
      <c r="C37" s="76" t="s">
        <v>108</v>
      </c>
      <c r="D37" s="76" t="s">
        <v>85</v>
      </c>
      <c r="E37" s="76" t="s">
        <v>90</v>
      </c>
    </row>
    <row r="38" spans="1:5">
      <c r="B38" s="76" t="s">
        <v>391</v>
      </c>
      <c r="C38" s="76" t="s">
        <v>644</v>
      </c>
      <c r="D38" s="76" t="s">
        <v>86</v>
      </c>
      <c r="E38" s="76" t="s">
        <v>401</v>
      </c>
    </row>
    <row r="39" spans="1:5">
      <c r="B39" s="76" t="s">
        <v>105</v>
      </c>
      <c r="C39" s="76" t="s">
        <v>106</v>
      </c>
      <c r="D39" s="76" t="s">
        <v>86</v>
      </c>
      <c r="E39" s="76" t="s">
        <v>87</v>
      </c>
    </row>
    <row r="40" spans="1:5" ht="17.5" thickBot="1">
      <c r="B40" s="19" t="s">
        <v>141</v>
      </c>
      <c r="C40" s="19" t="s">
        <v>107</v>
      </c>
      <c r="D40" s="19" t="s">
        <v>86</v>
      </c>
      <c r="E40" s="20" t="s">
        <v>92</v>
      </c>
    </row>
    <row r="41" spans="1:5" ht="18" thickTop="1" thickBot="1">
      <c r="B41" s="39" t="s">
        <v>645</v>
      </c>
      <c r="C41" s="39" t="s">
        <v>399</v>
      </c>
      <c r="D41" s="39" t="s">
        <v>86</v>
      </c>
      <c r="E41" s="49" t="s">
        <v>400</v>
      </c>
    </row>
    <row r="42" spans="1:5" ht="17.5" thickTop="1">
      <c r="B42" s="148" t="s">
        <v>161</v>
      </c>
      <c r="C42" s="149"/>
      <c r="D42" s="149"/>
      <c r="E42" s="149"/>
    </row>
    <row r="43" spans="1:5">
      <c r="B43" s="6" t="s">
        <v>137</v>
      </c>
      <c r="C43" s="6" t="s">
        <v>135</v>
      </c>
      <c r="D43" s="6" t="s">
        <v>101</v>
      </c>
      <c r="E43" s="2" t="s">
        <v>145</v>
      </c>
    </row>
    <row r="44" spans="1:5">
      <c r="B44" s="6" t="s">
        <v>138</v>
      </c>
      <c r="C44" s="6" t="s">
        <v>136</v>
      </c>
      <c r="D44" s="6" t="s">
        <v>101</v>
      </c>
      <c r="E44" s="13" t="s">
        <v>146</v>
      </c>
    </row>
    <row r="45" spans="1:5">
      <c r="B45" s="6" t="s">
        <v>522</v>
      </c>
      <c r="C45" s="6" t="s">
        <v>525</v>
      </c>
      <c r="D45" s="19" t="s">
        <v>85</v>
      </c>
      <c r="E45" s="13" t="s">
        <v>529</v>
      </c>
    </row>
    <row r="46" spans="1:5">
      <c r="B46" s="6" t="s">
        <v>523</v>
      </c>
      <c r="C46" s="6" t="s">
        <v>526</v>
      </c>
      <c r="D46" s="19" t="s">
        <v>85</v>
      </c>
      <c r="E46" s="13" t="s">
        <v>530</v>
      </c>
    </row>
    <row r="47" spans="1:5">
      <c r="B47" s="6" t="s">
        <v>524</v>
      </c>
      <c r="C47" s="6" t="s">
        <v>527</v>
      </c>
      <c r="D47" s="19" t="s">
        <v>85</v>
      </c>
      <c r="E47" s="13" t="s">
        <v>531</v>
      </c>
    </row>
    <row r="48" spans="1:5">
      <c r="B48" s="6" t="s">
        <v>507</v>
      </c>
      <c r="C48" s="6" t="s">
        <v>502</v>
      </c>
      <c r="D48" s="19" t="s">
        <v>85</v>
      </c>
      <c r="E48" s="13" t="s">
        <v>508</v>
      </c>
    </row>
    <row r="49" spans="1:5">
      <c r="B49" s="6" t="s">
        <v>506</v>
      </c>
      <c r="C49" s="6" t="s">
        <v>503</v>
      </c>
      <c r="D49" s="19" t="s">
        <v>85</v>
      </c>
      <c r="E49" s="13" t="s">
        <v>509</v>
      </c>
    </row>
    <row r="50" spans="1:5">
      <c r="B50" s="6" t="s">
        <v>505</v>
      </c>
      <c r="C50" s="6" t="s">
        <v>504</v>
      </c>
      <c r="D50" s="19" t="s">
        <v>85</v>
      </c>
      <c r="E50" s="13" t="s">
        <v>510</v>
      </c>
    </row>
    <row r="51" spans="1:5">
      <c r="B51" s="14"/>
      <c r="C51" s="14"/>
      <c r="D51" s="14"/>
    </row>
    <row r="52" spans="1:5" ht="36">
      <c r="A52" s="12" t="s">
        <v>163</v>
      </c>
    </row>
    <row r="53" spans="1:5" ht="36">
      <c r="A53" s="12"/>
      <c r="B53" s="4" t="s">
        <v>81</v>
      </c>
      <c r="C53" s="4" t="s">
        <v>82</v>
      </c>
      <c r="D53" s="4" t="s">
        <v>83</v>
      </c>
      <c r="E53" s="4" t="s">
        <v>84</v>
      </c>
    </row>
    <row r="54" spans="1:5">
      <c r="B54" s="19" t="s">
        <v>95</v>
      </c>
      <c r="C54" s="19" t="s">
        <v>96</v>
      </c>
      <c r="D54" s="19" t="s">
        <v>85</v>
      </c>
      <c r="E54" s="20" t="s">
        <v>97</v>
      </c>
    </row>
    <row r="55" spans="1:5">
      <c r="B55" s="19" t="s">
        <v>103</v>
      </c>
      <c r="C55" s="19" t="s">
        <v>104</v>
      </c>
      <c r="D55" s="19" t="s">
        <v>86</v>
      </c>
      <c r="E55" s="20" t="s">
        <v>87</v>
      </c>
    </row>
    <row r="56" spans="1:5">
      <c r="B56" s="19" t="s">
        <v>150</v>
      </c>
      <c r="C56" s="19" t="s">
        <v>152</v>
      </c>
      <c r="D56" s="19" t="s">
        <v>86</v>
      </c>
      <c r="E56" s="20" t="s">
        <v>92</v>
      </c>
    </row>
    <row r="57" spans="1:5">
      <c r="B57" s="148" t="s">
        <v>161</v>
      </c>
      <c r="C57" s="149"/>
      <c r="D57" s="149"/>
      <c r="E57" s="149"/>
    </row>
    <row r="58" spans="1:5">
      <c r="B58" s="19" t="s">
        <v>167</v>
      </c>
      <c r="C58" s="19" t="s">
        <v>172</v>
      </c>
      <c r="D58" s="19" t="s">
        <v>86</v>
      </c>
      <c r="E58" s="20" t="s">
        <v>123</v>
      </c>
    </row>
    <row r="59" spans="1:5">
      <c r="B59" s="19" t="s">
        <v>175</v>
      </c>
      <c r="C59" s="31" t="s">
        <v>173</v>
      </c>
      <c r="D59" s="19" t="s">
        <v>86</v>
      </c>
      <c r="E59" s="20"/>
    </row>
    <row r="60" spans="1:5">
      <c r="B60" s="150" t="s">
        <v>170</v>
      </c>
      <c r="C60" s="150"/>
      <c r="D60" s="150"/>
      <c r="E60" s="150"/>
    </row>
    <row r="61" spans="1:5">
      <c r="B61" s="19" t="s">
        <v>168</v>
      </c>
      <c r="C61" s="19" t="s">
        <v>174</v>
      </c>
      <c r="D61" s="19" t="s">
        <v>86</v>
      </c>
      <c r="E61" s="20" t="s">
        <v>124</v>
      </c>
    </row>
    <row r="62" spans="1:5">
      <c r="B62" s="31" t="s">
        <v>176</v>
      </c>
      <c r="C62" s="31" t="s">
        <v>173</v>
      </c>
      <c r="D62" s="19" t="s">
        <v>86</v>
      </c>
      <c r="E62" s="20"/>
    </row>
    <row r="63" spans="1:5">
      <c r="B63" s="150" t="s">
        <v>169</v>
      </c>
      <c r="C63" s="150"/>
      <c r="D63" s="150"/>
      <c r="E63" s="150"/>
    </row>
    <row r="64" spans="1:5">
      <c r="B64" s="19" t="s">
        <v>164</v>
      </c>
      <c r="C64" s="19" t="s">
        <v>102</v>
      </c>
      <c r="D64" s="19" t="s">
        <v>86</v>
      </c>
      <c r="E64" s="20"/>
    </row>
    <row r="65" spans="1:5">
      <c r="B65" s="19" t="s">
        <v>251</v>
      </c>
      <c r="C65" s="19" t="s">
        <v>252</v>
      </c>
      <c r="D65" s="19" t="s">
        <v>85</v>
      </c>
      <c r="E65" s="20"/>
    </row>
    <row r="66" spans="1:5" ht="34">
      <c r="B66" s="19" t="s">
        <v>253</v>
      </c>
      <c r="C66" s="19" t="s">
        <v>256</v>
      </c>
      <c r="D66" s="6" t="s">
        <v>101</v>
      </c>
      <c r="E66" s="40" t="s">
        <v>264</v>
      </c>
    </row>
    <row r="67" spans="1:5">
      <c r="B67" s="19" t="s">
        <v>254</v>
      </c>
      <c r="C67" s="19" t="s">
        <v>257</v>
      </c>
      <c r="D67" s="19" t="s">
        <v>85</v>
      </c>
      <c r="E67" s="20" t="s">
        <v>263</v>
      </c>
    </row>
    <row r="68" spans="1:5">
      <c r="B68" s="19" t="s">
        <v>255</v>
      </c>
      <c r="C68" s="19" t="s">
        <v>258</v>
      </c>
      <c r="D68" s="19" t="s">
        <v>85</v>
      </c>
      <c r="E68" s="20" t="s">
        <v>259</v>
      </c>
    </row>
    <row r="69" spans="1:5">
      <c r="B69" s="69"/>
      <c r="C69" s="69"/>
      <c r="D69" s="69"/>
      <c r="E69" s="70"/>
    </row>
    <row r="70" spans="1:5" ht="36">
      <c r="A70" s="12" t="s">
        <v>755</v>
      </c>
    </row>
    <row r="71" spans="1:5">
      <c r="B71" s="4" t="s">
        <v>81</v>
      </c>
      <c r="C71" s="4" t="s">
        <v>82</v>
      </c>
      <c r="D71" s="4" t="s">
        <v>83</v>
      </c>
      <c r="E71" s="4" t="s">
        <v>84</v>
      </c>
    </row>
    <row r="72" spans="1:5">
      <c r="B72" s="6" t="s">
        <v>35</v>
      </c>
      <c r="C72" s="6" t="s">
        <v>34</v>
      </c>
      <c r="D72" s="6" t="s">
        <v>85</v>
      </c>
      <c r="E72" s="2" t="s">
        <v>456</v>
      </c>
    </row>
    <row r="73" spans="1:5">
      <c r="B73" s="6" t="s">
        <v>119</v>
      </c>
      <c r="C73" s="6" t="s">
        <v>1</v>
      </c>
      <c r="D73" s="6" t="s">
        <v>86</v>
      </c>
      <c r="E73" s="2" t="s">
        <v>118</v>
      </c>
    </row>
    <row r="74" spans="1:5">
      <c r="B74" s="6" t="s">
        <v>112</v>
      </c>
      <c r="C74" s="6" t="s">
        <v>113</v>
      </c>
      <c r="D74" s="6" t="s">
        <v>85</v>
      </c>
      <c r="E74" s="2"/>
    </row>
    <row r="75" spans="1:5">
      <c r="B75" s="6" t="s">
        <v>23</v>
      </c>
      <c r="C75" s="6" t="s">
        <v>22</v>
      </c>
      <c r="D75" s="6" t="s">
        <v>86</v>
      </c>
      <c r="E75" s="2"/>
    </row>
    <row r="76" spans="1:5">
      <c r="B76" s="6" t="s">
        <v>25</v>
      </c>
      <c r="C76" s="6" t="s">
        <v>24</v>
      </c>
      <c r="D76" s="6" t="s">
        <v>86</v>
      </c>
      <c r="E76" s="2"/>
    </row>
    <row r="77" spans="1:5">
      <c r="B77" s="148" t="s">
        <v>178</v>
      </c>
      <c r="C77" s="149"/>
      <c r="D77" s="149"/>
      <c r="E77" s="149"/>
    </row>
    <row r="79" spans="1:5" ht="36">
      <c r="A79" s="12" t="s">
        <v>177</v>
      </c>
    </row>
    <row r="80" spans="1:5">
      <c r="B80" s="4" t="s">
        <v>81</v>
      </c>
      <c r="C80" s="4" t="s">
        <v>82</v>
      </c>
      <c r="D80" s="4" t="s">
        <v>83</v>
      </c>
      <c r="E80" s="4" t="s">
        <v>84</v>
      </c>
    </row>
    <row r="81" spans="2:5" ht="34">
      <c r="B81" s="6" t="s">
        <v>80</v>
      </c>
      <c r="C81" s="6" t="s">
        <v>98</v>
      </c>
      <c r="D81" s="6" t="s">
        <v>85</v>
      </c>
      <c r="E81" s="13" t="s">
        <v>100</v>
      </c>
    </row>
    <row r="82" spans="2:5">
      <c r="B82" s="6" t="s">
        <v>75</v>
      </c>
      <c r="C82" s="6" t="s">
        <v>121</v>
      </c>
      <c r="D82" s="6" t="s">
        <v>86</v>
      </c>
      <c r="E82" s="2"/>
    </row>
    <row r="83" spans="2:5">
      <c r="B83" s="6" t="s">
        <v>120</v>
      </c>
      <c r="C83" s="6" t="s">
        <v>122</v>
      </c>
      <c r="D83" s="6" t="s">
        <v>86</v>
      </c>
      <c r="E83" s="2"/>
    </row>
    <row r="84" spans="2:5">
      <c r="B84" s="6" t="s">
        <v>651</v>
      </c>
      <c r="C84" s="6" t="s">
        <v>654</v>
      </c>
      <c r="D84" s="6" t="s">
        <v>85</v>
      </c>
      <c r="E84" s="2"/>
    </row>
    <row r="85" spans="2:5">
      <c r="B85" s="6" t="s">
        <v>652</v>
      </c>
      <c r="C85" s="6" t="s">
        <v>655</v>
      </c>
      <c r="D85" s="6" t="s">
        <v>85</v>
      </c>
      <c r="E85" s="2"/>
    </row>
    <row r="86" spans="2:5">
      <c r="B86" s="6" t="s">
        <v>653</v>
      </c>
      <c r="C86" s="6" t="s">
        <v>656</v>
      </c>
      <c r="D86" s="6" t="s">
        <v>85</v>
      </c>
      <c r="E86" s="2"/>
    </row>
    <row r="87" spans="2:5">
      <c r="B87" s="6" t="s">
        <v>131</v>
      </c>
      <c r="C87" s="6" t="s">
        <v>126</v>
      </c>
      <c r="D87" s="6" t="s">
        <v>85</v>
      </c>
      <c r="E87" s="2" t="s">
        <v>259</v>
      </c>
    </row>
    <row r="88" spans="2:5">
      <c r="B88" s="6" t="s">
        <v>132</v>
      </c>
      <c r="C88" s="6" t="s">
        <v>127</v>
      </c>
      <c r="D88" s="6" t="s">
        <v>85</v>
      </c>
      <c r="E88" s="2" t="s">
        <v>259</v>
      </c>
    </row>
    <row r="89" spans="2:5">
      <c r="B89" s="6" t="s">
        <v>133</v>
      </c>
      <c r="C89" s="6" t="s">
        <v>209</v>
      </c>
      <c r="D89" s="6" t="s">
        <v>85</v>
      </c>
      <c r="E89" s="13" t="s">
        <v>259</v>
      </c>
    </row>
    <row r="90" spans="2:5">
      <c r="B90" s="6" t="s">
        <v>134</v>
      </c>
      <c r="C90" s="16" t="s">
        <v>125</v>
      </c>
      <c r="D90" s="16" t="s">
        <v>85</v>
      </c>
      <c r="E90" s="13"/>
    </row>
    <row r="91" spans="2:5" ht="34">
      <c r="B91" s="6" t="s">
        <v>36</v>
      </c>
      <c r="C91" s="6" t="s">
        <v>114</v>
      </c>
      <c r="D91" s="6" t="s">
        <v>85</v>
      </c>
      <c r="E91" s="13" t="s">
        <v>99</v>
      </c>
    </row>
    <row r="92" spans="2:5">
      <c r="B92" s="6" t="s">
        <v>77</v>
      </c>
      <c r="C92" s="6" t="s">
        <v>115</v>
      </c>
      <c r="D92" s="6" t="s">
        <v>86</v>
      </c>
      <c r="E92" s="2"/>
    </row>
    <row r="93" spans="2:5">
      <c r="B93" s="6" t="s">
        <v>78</v>
      </c>
      <c r="C93" s="6" t="s">
        <v>116</v>
      </c>
      <c r="D93" s="6" t="s">
        <v>86</v>
      </c>
      <c r="E93" s="2"/>
    </row>
    <row r="94" spans="2:5">
      <c r="B94" s="148" t="s">
        <v>179</v>
      </c>
      <c r="C94" s="149"/>
      <c r="D94" s="149"/>
      <c r="E94" s="149"/>
    </row>
  </sheetData>
  <mergeCells count="6">
    <mergeCell ref="B94:E94"/>
    <mergeCell ref="B42:E42"/>
    <mergeCell ref="B57:E57"/>
    <mergeCell ref="B60:E60"/>
    <mergeCell ref="B63:E63"/>
    <mergeCell ref="B77:E77"/>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E46D-4BB7-427B-9F0B-E6CCD845ECB0}">
  <dimension ref="A1:Y37"/>
  <sheetViews>
    <sheetView zoomScale="40" zoomScaleNormal="40" workbookViewId="0">
      <pane ySplit="2" topLeftCell="A3" activePane="bottomLeft" state="frozen"/>
      <selection activeCell="D5" sqref="D5"/>
      <selection pane="bottomLeft" activeCell="D5" sqref="D5"/>
    </sheetView>
  </sheetViews>
  <sheetFormatPr defaultColWidth="8.58203125" defaultRowHeight="17"/>
  <cols>
    <col min="1" max="4" width="20.58203125" style="6" customWidth="1"/>
    <col min="5" max="5" width="73.1640625" style="7" customWidth="1"/>
    <col min="6" max="7" width="20.58203125" style="16" customWidth="1"/>
    <col min="8" max="13" width="20.58203125" style="6" customWidth="1"/>
    <col min="14" max="21" width="25.58203125" style="6" customWidth="1"/>
    <col min="22" max="16384" width="8.58203125" style="1"/>
  </cols>
  <sheetData>
    <row r="1" spans="1:25" ht="34">
      <c r="A1" s="4" t="s">
        <v>34</v>
      </c>
      <c r="B1" s="4" t="s">
        <v>1</v>
      </c>
      <c r="C1" s="3" t="s">
        <v>631</v>
      </c>
      <c r="D1" s="4" t="s">
        <v>22</v>
      </c>
      <c r="E1" s="3" t="s">
        <v>24</v>
      </c>
      <c r="F1" s="78" t="s">
        <v>396</v>
      </c>
      <c r="G1" s="3" t="s">
        <v>193</v>
      </c>
      <c r="H1" s="3" t="s">
        <v>194</v>
      </c>
      <c r="I1" s="78" t="s">
        <v>414</v>
      </c>
      <c r="J1" s="3" t="s">
        <v>195</v>
      </c>
      <c r="K1" s="3" t="s">
        <v>278</v>
      </c>
      <c r="L1" s="3" t="s">
        <v>279</v>
      </c>
      <c r="M1" s="3" t="s">
        <v>280</v>
      </c>
      <c r="N1" s="3" t="s">
        <v>583</v>
      </c>
      <c r="O1" s="3" t="s">
        <v>582</v>
      </c>
      <c r="P1" s="81" t="s">
        <v>584</v>
      </c>
      <c r="Q1" s="81" t="s">
        <v>585</v>
      </c>
      <c r="R1" s="81" t="s">
        <v>586</v>
      </c>
      <c r="S1" s="81" t="s">
        <v>587</v>
      </c>
      <c r="T1" s="81" t="s">
        <v>588</v>
      </c>
      <c r="U1" s="81" t="s">
        <v>589</v>
      </c>
    </row>
    <row r="2" spans="1:25" ht="102">
      <c r="A2" s="4" t="s">
        <v>35</v>
      </c>
      <c r="B2" s="4" t="s">
        <v>117</v>
      </c>
      <c r="C2" s="4" t="s">
        <v>630</v>
      </c>
      <c r="D2" s="4" t="s">
        <v>23</v>
      </c>
      <c r="E2" s="3" t="s">
        <v>25</v>
      </c>
      <c r="F2" s="78" t="s">
        <v>402</v>
      </c>
      <c r="G2" s="3" t="s">
        <v>496</v>
      </c>
      <c r="H2" s="3" t="s">
        <v>192</v>
      </c>
      <c r="I2" s="78" t="s">
        <v>415</v>
      </c>
      <c r="J2" s="3" t="s">
        <v>191</v>
      </c>
      <c r="K2" s="3" t="s">
        <v>281</v>
      </c>
      <c r="L2" s="3" t="s">
        <v>284</v>
      </c>
      <c r="M2" s="3" t="s">
        <v>282</v>
      </c>
      <c r="N2" s="3" t="s">
        <v>590</v>
      </c>
      <c r="O2" s="3" t="s">
        <v>591</v>
      </c>
      <c r="P2" s="81" t="s">
        <v>592</v>
      </c>
      <c r="Q2" s="81" t="s">
        <v>593</v>
      </c>
      <c r="R2" s="81" t="s">
        <v>594</v>
      </c>
      <c r="S2" s="81" t="s">
        <v>595</v>
      </c>
      <c r="T2" s="81" t="s">
        <v>596</v>
      </c>
      <c r="U2" s="81" t="s">
        <v>597</v>
      </c>
      <c r="W2" s="151" t="s">
        <v>265</v>
      </c>
      <c r="X2" s="151"/>
      <c r="Y2" s="151"/>
    </row>
    <row r="3" spans="1:25" ht="34">
      <c r="A3" s="6">
        <v>1010</v>
      </c>
      <c r="B3" s="6" t="s">
        <v>452</v>
      </c>
      <c r="C3" s="6">
        <v>1</v>
      </c>
      <c r="D3" s="6" t="s">
        <v>9</v>
      </c>
      <c r="E3" s="7" t="s">
        <v>609</v>
      </c>
      <c r="F3" s="16">
        <v>0</v>
      </c>
      <c r="G3" s="16">
        <v>0</v>
      </c>
      <c r="H3" s="6">
        <v>0</v>
      </c>
      <c r="I3" s="6">
        <v>0</v>
      </c>
      <c r="J3" s="6">
        <v>0</v>
      </c>
      <c r="N3" s="23">
        <v>1</v>
      </c>
      <c r="O3" s="23"/>
      <c r="P3" s="23">
        <f>IFERROR(IF(ROUND(N3*1.2,1)=0,"",ROUND(N3*1.2,1)),"")</f>
        <v>1.2</v>
      </c>
      <c r="Q3" s="23" t="str">
        <f t="shared" ref="Q3:U3" si="0">IFERROR(IF(ROUND(O3*1.2,1)=0,"",ROUND(O3*1.2,1)),"")</f>
        <v/>
      </c>
      <c r="R3" s="23">
        <f t="shared" si="0"/>
        <v>1.4</v>
      </c>
      <c r="S3" s="23" t="str">
        <f t="shared" si="0"/>
        <v/>
      </c>
      <c r="T3" s="23">
        <f t="shared" si="0"/>
        <v>1.7</v>
      </c>
      <c r="U3" s="23" t="str">
        <f t="shared" si="0"/>
        <v/>
      </c>
      <c r="W3" s="6">
        <v>8</v>
      </c>
      <c r="X3" s="6">
        <v>1</v>
      </c>
      <c r="Y3" s="6">
        <v>2</v>
      </c>
    </row>
    <row r="4" spans="1:25">
      <c r="A4" s="6">
        <v>1020</v>
      </c>
      <c r="B4" s="6" t="s">
        <v>452</v>
      </c>
      <c r="C4" s="6">
        <v>3</v>
      </c>
      <c r="D4" s="6" t="s">
        <v>234</v>
      </c>
      <c r="E4" s="7" t="s">
        <v>610</v>
      </c>
      <c r="F4" s="16">
        <v>0</v>
      </c>
      <c r="G4" s="16">
        <v>0</v>
      </c>
      <c r="H4" s="6">
        <v>0</v>
      </c>
      <c r="I4" s="6">
        <v>0</v>
      </c>
      <c r="J4" s="6">
        <v>1</v>
      </c>
      <c r="K4" s="6" t="s">
        <v>498</v>
      </c>
      <c r="L4" s="6">
        <v>0</v>
      </c>
      <c r="N4" s="23">
        <v>0.8</v>
      </c>
      <c r="O4" s="23"/>
      <c r="P4" s="23">
        <f t="shared" ref="P4:P37" si="1">IFERROR(IF(ROUND(N4*1.2,1)=0,"",ROUND(N4*1.2,1)),"")</f>
        <v>1</v>
      </c>
      <c r="Q4" s="23" t="str">
        <f t="shared" ref="Q4:Q37" si="2">IFERROR(IF(ROUND(O4*1.2,1)=0,"",ROUND(O4*1.2,1)),"")</f>
        <v/>
      </c>
      <c r="R4" s="23">
        <f t="shared" ref="R4:R37" si="3">IFERROR(IF(ROUND(P4*1.2,1)=0,"",ROUND(P4*1.2,1)),"")</f>
        <v>1.2</v>
      </c>
      <c r="S4" s="23" t="str">
        <f t="shared" ref="S4:S37" si="4">IFERROR(IF(ROUND(Q4*1.2,1)=0,"",ROUND(Q4*1.2,1)),"")</f>
        <v/>
      </c>
      <c r="T4" s="23">
        <f t="shared" ref="T4:T37" si="5">IFERROR(IF(ROUND(R4*1.2,1)=0,"",ROUND(R4*1.2,1)),"")</f>
        <v>1.4</v>
      </c>
      <c r="U4" s="23" t="str">
        <f t="shared" ref="U4:U37" si="6">IFERROR(IF(ROUND(S4*1.2,1)=0,"",ROUND(S4*1.2,1)),"")</f>
        <v/>
      </c>
      <c r="W4" s="6">
        <v>7</v>
      </c>
      <c r="X4" s="6" t="s">
        <v>267</v>
      </c>
      <c r="Y4" s="6">
        <v>3</v>
      </c>
    </row>
    <row r="5" spans="1:25" ht="51">
      <c r="A5" s="6">
        <v>1030</v>
      </c>
      <c r="B5" s="6" t="s">
        <v>452</v>
      </c>
      <c r="C5" s="6">
        <v>5</v>
      </c>
      <c r="D5" s="6" t="s">
        <v>30</v>
      </c>
      <c r="E5" s="7" t="s">
        <v>618</v>
      </c>
      <c r="F5" s="16">
        <v>0</v>
      </c>
      <c r="G5" s="16">
        <v>0</v>
      </c>
      <c r="H5" s="6">
        <v>0</v>
      </c>
      <c r="I5" s="6">
        <v>0</v>
      </c>
      <c r="J5" s="6">
        <v>0</v>
      </c>
      <c r="K5" s="6" t="s">
        <v>283</v>
      </c>
      <c r="L5" s="6">
        <v>0</v>
      </c>
      <c r="M5" s="6">
        <v>1</v>
      </c>
      <c r="N5" s="23">
        <v>0.6</v>
      </c>
      <c r="O5" s="23">
        <v>0.8</v>
      </c>
      <c r="P5" s="23">
        <f t="shared" si="1"/>
        <v>0.7</v>
      </c>
      <c r="Q5" s="23">
        <f t="shared" si="2"/>
        <v>1</v>
      </c>
      <c r="R5" s="23">
        <f t="shared" si="3"/>
        <v>0.8</v>
      </c>
      <c r="S5" s="23">
        <f t="shared" si="4"/>
        <v>1.2</v>
      </c>
      <c r="T5" s="23">
        <f t="shared" si="5"/>
        <v>1</v>
      </c>
      <c r="U5" s="23">
        <f t="shared" si="6"/>
        <v>1.4</v>
      </c>
      <c r="W5" s="6">
        <v>6</v>
      </c>
      <c r="X5" s="6">
        <v>5</v>
      </c>
      <c r="Y5" s="6">
        <v>4</v>
      </c>
    </row>
    <row r="6" spans="1:25" ht="34">
      <c r="A6" s="6">
        <v>1040</v>
      </c>
      <c r="B6" s="6" t="s">
        <v>452</v>
      </c>
      <c r="C6" s="6">
        <v>7</v>
      </c>
      <c r="D6" s="6" t="s">
        <v>31</v>
      </c>
      <c r="E6" s="7" t="s">
        <v>611</v>
      </c>
      <c r="F6" s="16">
        <v>0</v>
      </c>
      <c r="G6" s="16">
        <v>0</v>
      </c>
      <c r="H6" s="6">
        <v>0</v>
      </c>
      <c r="I6" s="6">
        <v>0</v>
      </c>
      <c r="J6" s="6">
        <v>1</v>
      </c>
      <c r="K6" s="6" t="s">
        <v>498</v>
      </c>
      <c r="L6" s="6">
        <v>0</v>
      </c>
      <c r="N6" s="23">
        <v>1.2</v>
      </c>
      <c r="O6" s="23"/>
      <c r="P6" s="23">
        <f t="shared" si="1"/>
        <v>1.4</v>
      </c>
      <c r="Q6" s="23" t="str">
        <f t="shared" si="2"/>
        <v/>
      </c>
      <c r="R6" s="23">
        <f t="shared" si="3"/>
        <v>1.7</v>
      </c>
      <c r="S6" s="23" t="str">
        <f t="shared" si="4"/>
        <v/>
      </c>
      <c r="T6" s="23">
        <f t="shared" si="5"/>
        <v>2</v>
      </c>
      <c r="U6" s="23" t="str">
        <f t="shared" si="6"/>
        <v/>
      </c>
      <c r="W6" s="6" t="s">
        <v>491</v>
      </c>
      <c r="X6" s="6">
        <v>9</v>
      </c>
    </row>
    <row r="7" spans="1:25">
      <c r="A7" s="6">
        <v>1050</v>
      </c>
      <c r="B7" s="6" t="s">
        <v>452</v>
      </c>
      <c r="C7" s="6">
        <v>10</v>
      </c>
      <c r="D7" s="6" t="s">
        <v>32</v>
      </c>
      <c r="E7" s="7" t="s">
        <v>612</v>
      </c>
      <c r="F7" s="16">
        <v>0</v>
      </c>
      <c r="G7" s="16">
        <v>0</v>
      </c>
      <c r="H7" s="6">
        <v>0</v>
      </c>
      <c r="I7" s="6">
        <v>1</v>
      </c>
      <c r="J7" s="6">
        <v>0</v>
      </c>
      <c r="N7" s="23">
        <v>1.5</v>
      </c>
      <c r="O7" s="23"/>
      <c r="P7" s="23">
        <f t="shared" si="1"/>
        <v>1.8</v>
      </c>
      <c r="Q7" s="23" t="str">
        <f t="shared" si="2"/>
        <v/>
      </c>
      <c r="R7" s="23">
        <f t="shared" si="3"/>
        <v>2.2000000000000002</v>
      </c>
      <c r="S7" s="23" t="str">
        <f t="shared" si="4"/>
        <v/>
      </c>
      <c r="T7" s="23">
        <f t="shared" si="5"/>
        <v>2.6</v>
      </c>
      <c r="U7" s="23" t="str">
        <f t="shared" si="6"/>
        <v/>
      </c>
    </row>
    <row r="8" spans="1:25">
      <c r="A8" s="6">
        <v>1060</v>
      </c>
      <c r="B8" s="6" t="s">
        <v>452</v>
      </c>
      <c r="C8" s="6">
        <v>12</v>
      </c>
      <c r="D8" s="6" t="s">
        <v>33</v>
      </c>
      <c r="E8" s="7" t="s">
        <v>613</v>
      </c>
      <c r="F8" s="16">
        <v>0</v>
      </c>
      <c r="G8" s="16">
        <v>0</v>
      </c>
      <c r="H8" s="6">
        <v>0</v>
      </c>
      <c r="I8" s="6">
        <v>1</v>
      </c>
      <c r="J8" s="6">
        <v>2</v>
      </c>
      <c r="N8" s="23">
        <v>0.8</v>
      </c>
      <c r="O8" s="23"/>
      <c r="P8" s="23">
        <f t="shared" si="1"/>
        <v>1</v>
      </c>
      <c r="Q8" s="23" t="str">
        <f t="shared" si="2"/>
        <v/>
      </c>
      <c r="R8" s="23">
        <f t="shared" si="3"/>
        <v>1.2</v>
      </c>
      <c r="S8" s="23" t="str">
        <f t="shared" si="4"/>
        <v/>
      </c>
      <c r="T8" s="23">
        <f t="shared" si="5"/>
        <v>1.4</v>
      </c>
      <c r="U8" s="23" t="str">
        <f t="shared" si="6"/>
        <v/>
      </c>
    </row>
    <row r="9" spans="1:25" ht="34">
      <c r="A9" s="6">
        <v>1070</v>
      </c>
      <c r="B9" s="6" t="s">
        <v>452</v>
      </c>
      <c r="C9" s="6">
        <v>15</v>
      </c>
      <c r="D9" s="6" t="s">
        <v>26</v>
      </c>
      <c r="E9" s="7" t="s">
        <v>643</v>
      </c>
      <c r="F9" s="16">
        <v>0</v>
      </c>
      <c r="G9" s="16">
        <v>0</v>
      </c>
      <c r="H9" s="6">
        <v>0</v>
      </c>
      <c r="I9" s="6">
        <v>0</v>
      </c>
      <c r="J9" s="6">
        <v>0</v>
      </c>
      <c r="N9" s="23">
        <v>1.8</v>
      </c>
      <c r="O9" s="23"/>
      <c r="P9" s="23">
        <v>2.2000000000000002</v>
      </c>
      <c r="Q9" s="23" t="str">
        <f t="shared" si="2"/>
        <v/>
      </c>
      <c r="R9" s="23">
        <v>2.6</v>
      </c>
      <c r="S9" s="23" t="str">
        <f t="shared" si="4"/>
        <v/>
      </c>
      <c r="T9" s="23">
        <v>3</v>
      </c>
      <c r="U9" s="23" t="str">
        <f t="shared" si="6"/>
        <v/>
      </c>
    </row>
    <row r="10" spans="1:25">
      <c r="A10" s="8">
        <v>2010</v>
      </c>
      <c r="B10" s="8" t="s">
        <v>453</v>
      </c>
      <c r="C10" s="8">
        <v>1</v>
      </c>
      <c r="D10" s="8" t="s">
        <v>43</v>
      </c>
      <c r="E10" s="9" t="s">
        <v>614</v>
      </c>
      <c r="F10" s="32">
        <v>0</v>
      </c>
      <c r="G10" s="32">
        <v>0</v>
      </c>
      <c r="H10" s="8">
        <v>1</v>
      </c>
      <c r="I10" s="8">
        <v>1</v>
      </c>
      <c r="J10" s="8">
        <v>0</v>
      </c>
      <c r="K10" s="8"/>
      <c r="L10" s="8"/>
      <c r="M10" s="8"/>
      <c r="N10" s="83">
        <v>1</v>
      </c>
      <c r="O10" s="83"/>
      <c r="P10" s="83">
        <f t="shared" si="1"/>
        <v>1.2</v>
      </c>
      <c r="Q10" s="83" t="str">
        <f t="shared" si="2"/>
        <v/>
      </c>
      <c r="R10" s="83">
        <f t="shared" si="3"/>
        <v>1.4</v>
      </c>
      <c r="S10" s="83" t="str">
        <f t="shared" si="4"/>
        <v/>
      </c>
      <c r="T10" s="83">
        <f t="shared" si="5"/>
        <v>1.7</v>
      </c>
      <c r="U10" s="83" t="str">
        <f t="shared" si="6"/>
        <v/>
      </c>
    </row>
    <row r="11" spans="1:25">
      <c r="A11" s="8">
        <v>2020</v>
      </c>
      <c r="B11" s="8" t="s">
        <v>453</v>
      </c>
      <c r="C11" s="8">
        <v>3</v>
      </c>
      <c r="D11" s="8" t="s">
        <v>44</v>
      </c>
      <c r="E11" s="9" t="s">
        <v>616</v>
      </c>
      <c r="F11" s="32">
        <v>0</v>
      </c>
      <c r="G11" s="32">
        <v>0</v>
      </c>
      <c r="H11" s="8">
        <v>1</v>
      </c>
      <c r="I11" s="8">
        <v>1</v>
      </c>
      <c r="J11" s="8">
        <v>1</v>
      </c>
      <c r="K11" s="8" t="s">
        <v>498</v>
      </c>
      <c r="L11" s="8">
        <v>0</v>
      </c>
      <c r="M11" s="8"/>
      <c r="N11" s="83">
        <v>0.6</v>
      </c>
      <c r="O11" s="83"/>
      <c r="P11" s="83">
        <f t="shared" si="1"/>
        <v>0.7</v>
      </c>
      <c r="Q11" s="83" t="str">
        <f t="shared" si="2"/>
        <v/>
      </c>
      <c r="R11" s="83">
        <f t="shared" si="3"/>
        <v>0.8</v>
      </c>
      <c r="S11" s="83" t="str">
        <f t="shared" si="4"/>
        <v/>
      </c>
      <c r="T11" s="83">
        <f t="shared" si="5"/>
        <v>1</v>
      </c>
      <c r="U11" s="83" t="str">
        <f t="shared" si="6"/>
        <v/>
      </c>
    </row>
    <row r="12" spans="1:25">
      <c r="A12" s="8">
        <v>2030</v>
      </c>
      <c r="B12" s="8" t="s">
        <v>453</v>
      </c>
      <c r="C12" s="8">
        <v>5</v>
      </c>
      <c r="D12" s="8" t="s">
        <v>46</v>
      </c>
      <c r="E12" s="9" t="s">
        <v>615</v>
      </c>
      <c r="F12" s="32">
        <v>0</v>
      </c>
      <c r="G12" s="32">
        <v>0</v>
      </c>
      <c r="H12" s="8">
        <v>1</v>
      </c>
      <c r="I12" s="8">
        <v>1</v>
      </c>
      <c r="J12" s="8">
        <v>0</v>
      </c>
      <c r="K12" s="8"/>
      <c r="L12" s="8"/>
      <c r="M12" s="8"/>
      <c r="N12" s="83">
        <v>1.8</v>
      </c>
      <c r="O12" s="83"/>
      <c r="P12" s="83">
        <f t="shared" si="1"/>
        <v>2.2000000000000002</v>
      </c>
      <c r="Q12" s="83" t="str">
        <f t="shared" si="2"/>
        <v/>
      </c>
      <c r="R12" s="83">
        <f t="shared" si="3"/>
        <v>2.6</v>
      </c>
      <c r="S12" s="83" t="str">
        <f t="shared" si="4"/>
        <v/>
      </c>
      <c r="T12" s="83">
        <f t="shared" si="5"/>
        <v>3.1</v>
      </c>
      <c r="U12" s="83" t="str">
        <f t="shared" si="6"/>
        <v/>
      </c>
    </row>
    <row r="13" spans="1:25" ht="34">
      <c r="A13" s="8">
        <v>2040</v>
      </c>
      <c r="B13" s="8" t="s">
        <v>453</v>
      </c>
      <c r="C13" s="8">
        <v>7</v>
      </c>
      <c r="D13" s="8" t="s">
        <v>45</v>
      </c>
      <c r="E13" s="9" t="s">
        <v>619</v>
      </c>
      <c r="F13" s="32">
        <v>0</v>
      </c>
      <c r="G13" s="32">
        <v>0</v>
      </c>
      <c r="H13" s="8">
        <v>1</v>
      </c>
      <c r="I13" s="8">
        <v>1</v>
      </c>
      <c r="J13" s="8">
        <v>0</v>
      </c>
      <c r="K13" s="8" t="s">
        <v>277</v>
      </c>
      <c r="L13" s="8">
        <v>1</v>
      </c>
      <c r="M13" s="8">
        <v>1</v>
      </c>
      <c r="N13" s="83">
        <v>0.6</v>
      </c>
      <c r="O13" s="83">
        <v>0.5</v>
      </c>
      <c r="P13" s="83">
        <f t="shared" si="1"/>
        <v>0.7</v>
      </c>
      <c r="Q13" s="83">
        <f t="shared" si="2"/>
        <v>0.6</v>
      </c>
      <c r="R13" s="83">
        <f t="shared" si="3"/>
        <v>0.8</v>
      </c>
      <c r="S13" s="83">
        <f t="shared" si="4"/>
        <v>0.7</v>
      </c>
      <c r="T13" s="83">
        <f t="shared" si="5"/>
        <v>1</v>
      </c>
      <c r="U13" s="83">
        <f t="shared" si="6"/>
        <v>0.8</v>
      </c>
    </row>
    <row r="14" spans="1:25">
      <c r="A14" s="8">
        <v>2050</v>
      </c>
      <c r="B14" s="8" t="s">
        <v>453</v>
      </c>
      <c r="C14" s="8">
        <v>10</v>
      </c>
      <c r="D14" s="8" t="s">
        <v>27</v>
      </c>
      <c r="E14" s="9" t="s">
        <v>620</v>
      </c>
      <c r="F14" s="32">
        <v>0</v>
      </c>
      <c r="G14" s="32">
        <v>0</v>
      </c>
      <c r="H14" s="8">
        <v>1</v>
      </c>
      <c r="I14" s="8">
        <v>1</v>
      </c>
      <c r="J14" s="8">
        <v>2</v>
      </c>
      <c r="K14" s="8"/>
      <c r="L14" s="8"/>
      <c r="M14" s="8"/>
      <c r="N14" s="83">
        <v>0.8</v>
      </c>
      <c r="O14" s="83"/>
      <c r="P14" s="83">
        <f t="shared" si="1"/>
        <v>1</v>
      </c>
      <c r="Q14" s="83" t="str">
        <f t="shared" si="2"/>
        <v/>
      </c>
      <c r="R14" s="83">
        <f t="shared" si="3"/>
        <v>1.2</v>
      </c>
      <c r="S14" s="83" t="str">
        <f t="shared" si="4"/>
        <v/>
      </c>
      <c r="T14" s="83">
        <f t="shared" si="5"/>
        <v>1.4</v>
      </c>
      <c r="U14" s="83" t="str">
        <f t="shared" si="6"/>
        <v/>
      </c>
    </row>
    <row r="15" spans="1:25" ht="34">
      <c r="A15" s="8">
        <v>2060</v>
      </c>
      <c r="B15" s="8" t="s">
        <v>453</v>
      </c>
      <c r="C15" s="8">
        <v>12</v>
      </c>
      <c r="D15" s="8" t="s">
        <v>13</v>
      </c>
      <c r="E15" s="9" t="s">
        <v>640</v>
      </c>
      <c r="F15" s="32">
        <v>0</v>
      </c>
      <c r="G15" s="32">
        <v>0</v>
      </c>
      <c r="H15" s="8">
        <v>1</v>
      </c>
      <c r="I15" s="8">
        <v>1</v>
      </c>
      <c r="J15" s="8">
        <v>0</v>
      </c>
      <c r="K15" s="8"/>
      <c r="L15" s="8"/>
      <c r="M15" s="8"/>
      <c r="N15" s="83">
        <v>1.5</v>
      </c>
      <c r="O15" s="83"/>
      <c r="P15" s="83">
        <f t="shared" si="1"/>
        <v>1.8</v>
      </c>
      <c r="Q15" s="83" t="str">
        <f t="shared" si="2"/>
        <v/>
      </c>
      <c r="R15" s="83">
        <f t="shared" si="3"/>
        <v>2.2000000000000002</v>
      </c>
      <c r="S15" s="83" t="str">
        <f t="shared" si="4"/>
        <v/>
      </c>
      <c r="T15" s="83">
        <f t="shared" si="5"/>
        <v>2.6</v>
      </c>
      <c r="U15" s="83" t="str">
        <f t="shared" si="6"/>
        <v/>
      </c>
    </row>
    <row r="16" spans="1:25" ht="34">
      <c r="A16" s="8">
        <v>2070</v>
      </c>
      <c r="B16" s="8" t="s">
        <v>453</v>
      </c>
      <c r="C16" s="8">
        <v>15</v>
      </c>
      <c r="D16" s="8" t="s">
        <v>28</v>
      </c>
      <c r="E16" s="9" t="s">
        <v>639</v>
      </c>
      <c r="F16" s="32">
        <v>0</v>
      </c>
      <c r="G16" s="32">
        <v>0</v>
      </c>
      <c r="H16" s="8">
        <v>1</v>
      </c>
      <c r="I16" s="8">
        <v>1</v>
      </c>
      <c r="J16" s="8">
        <v>2</v>
      </c>
      <c r="K16" s="8"/>
      <c r="L16" s="8"/>
      <c r="M16" s="8"/>
      <c r="N16" s="83">
        <v>1.4</v>
      </c>
      <c r="O16" s="83"/>
      <c r="P16" s="83">
        <v>1.6</v>
      </c>
      <c r="Q16" s="83" t="str">
        <f t="shared" si="2"/>
        <v/>
      </c>
      <c r="R16" s="83">
        <v>1.8</v>
      </c>
      <c r="S16" s="83" t="str">
        <f t="shared" si="4"/>
        <v/>
      </c>
      <c r="T16" s="83">
        <v>2</v>
      </c>
      <c r="U16" s="83" t="str">
        <f t="shared" si="6"/>
        <v/>
      </c>
    </row>
    <row r="17" spans="1:21">
      <c r="A17" s="6">
        <v>3010</v>
      </c>
      <c r="B17" s="6" t="s">
        <v>454</v>
      </c>
      <c r="C17" s="6">
        <v>1</v>
      </c>
      <c r="D17" s="6" t="s">
        <v>241</v>
      </c>
      <c r="E17" s="80" t="s">
        <v>617</v>
      </c>
      <c r="F17" s="16">
        <v>0</v>
      </c>
      <c r="G17" s="16">
        <v>0</v>
      </c>
      <c r="H17" s="6">
        <v>1</v>
      </c>
      <c r="I17" s="6">
        <v>1</v>
      </c>
      <c r="J17" s="6">
        <v>0</v>
      </c>
      <c r="N17" s="23">
        <v>1</v>
      </c>
      <c r="O17" s="23"/>
      <c r="P17" s="23">
        <f t="shared" si="1"/>
        <v>1.2</v>
      </c>
      <c r="Q17" s="23" t="str">
        <f t="shared" si="2"/>
        <v/>
      </c>
      <c r="R17" s="23">
        <f t="shared" si="3"/>
        <v>1.4</v>
      </c>
      <c r="S17" s="23" t="str">
        <f t="shared" si="4"/>
        <v/>
      </c>
      <c r="T17" s="23">
        <f t="shared" si="5"/>
        <v>1.7</v>
      </c>
      <c r="U17" s="23" t="str">
        <f t="shared" si="6"/>
        <v/>
      </c>
    </row>
    <row r="18" spans="1:21" ht="34">
      <c r="A18" s="6">
        <v>3020</v>
      </c>
      <c r="B18" s="6" t="s">
        <v>454</v>
      </c>
      <c r="C18" s="6">
        <v>3</v>
      </c>
      <c r="D18" s="6" t="s">
        <v>514</v>
      </c>
      <c r="E18" s="80" t="s">
        <v>621</v>
      </c>
      <c r="F18" s="16">
        <v>0</v>
      </c>
      <c r="G18" s="16">
        <v>0</v>
      </c>
      <c r="H18" s="6">
        <v>1</v>
      </c>
      <c r="I18" s="6">
        <v>1</v>
      </c>
      <c r="J18" s="6">
        <v>0</v>
      </c>
      <c r="N18" s="23">
        <v>1.2</v>
      </c>
      <c r="O18" s="23"/>
      <c r="P18" s="23">
        <f t="shared" si="1"/>
        <v>1.4</v>
      </c>
      <c r="Q18" s="23" t="str">
        <f t="shared" si="2"/>
        <v/>
      </c>
      <c r="R18" s="23">
        <f t="shared" si="3"/>
        <v>1.7</v>
      </c>
      <c r="S18" s="23" t="str">
        <f t="shared" si="4"/>
        <v/>
      </c>
      <c r="T18" s="23">
        <f t="shared" si="5"/>
        <v>2</v>
      </c>
      <c r="U18" s="23" t="str">
        <f t="shared" si="6"/>
        <v/>
      </c>
    </row>
    <row r="19" spans="1:21" ht="34">
      <c r="A19" s="6">
        <v>3030</v>
      </c>
      <c r="B19" s="6" t="s">
        <v>454</v>
      </c>
      <c r="C19" s="6">
        <v>5</v>
      </c>
      <c r="D19" s="6" t="s">
        <v>515</v>
      </c>
      <c r="E19" s="80" t="s">
        <v>622</v>
      </c>
      <c r="F19" s="16">
        <v>0</v>
      </c>
      <c r="G19" s="16">
        <v>0</v>
      </c>
      <c r="H19" s="6">
        <v>1</v>
      </c>
      <c r="I19" s="6">
        <v>1</v>
      </c>
      <c r="J19" s="6">
        <v>0</v>
      </c>
      <c r="N19" s="23">
        <v>1.4</v>
      </c>
      <c r="O19" s="23"/>
      <c r="P19" s="23">
        <f t="shared" si="1"/>
        <v>1.7</v>
      </c>
      <c r="Q19" s="23" t="str">
        <f t="shared" si="2"/>
        <v/>
      </c>
      <c r="R19" s="23">
        <f t="shared" si="3"/>
        <v>2</v>
      </c>
      <c r="S19" s="23" t="str">
        <f t="shared" si="4"/>
        <v/>
      </c>
      <c r="T19" s="23">
        <f t="shared" si="5"/>
        <v>2.4</v>
      </c>
      <c r="U19" s="23" t="str">
        <f t="shared" si="6"/>
        <v/>
      </c>
    </row>
    <row r="20" spans="1:21" ht="34">
      <c r="A20" s="6">
        <v>3040</v>
      </c>
      <c r="B20" s="6" t="s">
        <v>454</v>
      </c>
      <c r="C20" s="6">
        <v>7</v>
      </c>
      <c r="D20" s="6" t="s">
        <v>516</v>
      </c>
      <c r="E20" s="80" t="s">
        <v>623</v>
      </c>
      <c r="F20" s="16">
        <v>0</v>
      </c>
      <c r="G20" s="16">
        <v>0</v>
      </c>
      <c r="H20" s="6">
        <v>1</v>
      </c>
      <c r="I20" s="6">
        <v>1</v>
      </c>
      <c r="J20" s="6">
        <v>0</v>
      </c>
      <c r="K20" s="6" t="s">
        <v>517</v>
      </c>
      <c r="L20" s="6">
        <v>0</v>
      </c>
      <c r="N20" s="23">
        <v>0.8</v>
      </c>
      <c r="O20" s="23">
        <v>0.8</v>
      </c>
      <c r="P20" s="23">
        <f t="shared" si="1"/>
        <v>1</v>
      </c>
      <c r="Q20" s="23">
        <f t="shared" si="2"/>
        <v>1</v>
      </c>
      <c r="R20" s="23">
        <f t="shared" si="3"/>
        <v>1.2</v>
      </c>
      <c r="S20" s="23">
        <f t="shared" si="4"/>
        <v>1.2</v>
      </c>
      <c r="T20" s="23">
        <f t="shared" si="5"/>
        <v>1.4</v>
      </c>
      <c r="U20" s="23">
        <f t="shared" si="6"/>
        <v>1.4</v>
      </c>
    </row>
    <row r="21" spans="1:21" ht="34">
      <c r="A21" s="6">
        <v>3050</v>
      </c>
      <c r="B21" s="6" t="s">
        <v>454</v>
      </c>
      <c r="C21" s="6">
        <v>10</v>
      </c>
      <c r="D21" s="6" t="s">
        <v>518</v>
      </c>
      <c r="E21" s="80" t="s">
        <v>642</v>
      </c>
      <c r="F21" s="16">
        <v>0</v>
      </c>
      <c r="G21" s="16">
        <v>0</v>
      </c>
      <c r="H21" s="6">
        <v>1</v>
      </c>
      <c r="I21" s="6">
        <v>1</v>
      </c>
      <c r="J21" s="6">
        <v>0</v>
      </c>
      <c r="N21" s="23">
        <v>1.6</v>
      </c>
      <c r="O21" s="23"/>
      <c r="P21" s="23">
        <f t="shared" si="1"/>
        <v>1.9</v>
      </c>
      <c r="Q21" s="23" t="str">
        <f t="shared" si="2"/>
        <v/>
      </c>
      <c r="R21" s="23">
        <f t="shared" si="3"/>
        <v>2.2999999999999998</v>
      </c>
      <c r="S21" s="23" t="str">
        <f t="shared" si="4"/>
        <v/>
      </c>
      <c r="T21" s="23">
        <f t="shared" si="5"/>
        <v>2.8</v>
      </c>
      <c r="U21" s="23" t="str">
        <f t="shared" si="6"/>
        <v/>
      </c>
    </row>
    <row r="22" spans="1:21">
      <c r="A22" s="6">
        <v>3060</v>
      </c>
      <c r="B22" s="6" t="s">
        <v>454</v>
      </c>
      <c r="C22" s="6">
        <v>12</v>
      </c>
      <c r="D22" s="6" t="s">
        <v>519</v>
      </c>
      <c r="E22" s="80" t="s">
        <v>620</v>
      </c>
      <c r="F22" s="16">
        <v>0</v>
      </c>
      <c r="G22" s="16">
        <v>0</v>
      </c>
      <c r="H22" s="6">
        <v>1</v>
      </c>
      <c r="I22" s="6">
        <v>1</v>
      </c>
      <c r="J22" s="6">
        <v>2</v>
      </c>
      <c r="N22" s="23">
        <v>0.5</v>
      </c>
      <c r="O22" s="23"/>
      <c r="P22" s="23">
        <f t="shared" si="1"/>
        <v>0.6</v>
      </c>
      <c r="Q22" s="23" t="str">
        <f t="shared" si="2"/>
        <v/>
      </c>
      <c r="R22" s="23">
        <f t="shared" si="3"/>
        <v>0.7</v>
      </c>
      <c r="S22" s="23" t="str">
        <f t="shared" si="4"/>
        <v/>
      </c>
      <c r="T22" s="23">
        <f t="shared" si="5"/>
        <v>0.8</v>
      </c>
      <c r="U22" s="23" t="str">
        <f t="shared" si="6"/>
        <v/>
      </c>
    </row>
    <row r="23" spans="1:21" ht="34">
      <c r="A23" s="6">
        <v>3070</v>
      </c>
      <c r="B23" s="6" t="s">
        <v>454</v>
      </c>
      <c r="C23" s="6">
        <v>15</v>
      </c>
      <c r="D23" s="6" t="s">
        <v>520</v>
      </c>
      <c r="E23" s="80" t="s">
        <v>638</v>
      </c>
      <c r="F23" s="16">
        <v>0</v>
      </c>
      <c r="G23" s="16">
        <v>0</v>
      </c>
      <c r="H23" s="6">
        <v>1</v>
      </c>
      <c r="I23" s="6">
        <v>1</v>
      </c>
      <c r="J23" s="6">
        <v>0</v>
      </c>
      <c r="N23" s="23">
        <v>1.8</v>
      </c>
      <c r="O23" s="23"/>
      <c r="P23" s="23">
        <f t="shared" si="1"/>
        <v>2.2000000000000002</v>
      </c>
      <c r="Q23" s="23" t="str">
        <f t="shared" si="2"/>
        <v/>
      </c>
      <c r="R23" s="23">
        <f t="shared" si="3"/>
        <v>2.6</v>
      </c>
      <c r="S23" s="23" t="str">
        <f t="shared" si="4"/>
        <v/>
      </c>
      <c r="T23" s="23">
        <f t="shared" si="5"/>
        <v>3.1</v>
      </c>
      <c r="U23" s="23" t="str">
        <f t="shared" si="6"/>
        <v/>
      </c>
    </row>
    <row r="24" spans="1:21">
      <c r="A24" s="8">
        <v>4010</v>
      </c>
      <c r="B24" s="8" t="s">
        <v>455</v>
      </c>
      <c r="C24" s="8">
        <v>1</v>
      </c>
      <c r="D24" s="8" t="s">
        <v>14</v>
      </c>
      <c r="E24" s="9" t="s">
        <v>405</v>
      </c>
      <c r="F24" s="32">
        <v>0</v>
      </c>
      <c r="G24" s="32">
        <v>1</v>
      </c>
      <c r="H24" s="8"/>
      <c r="I24" s="8"/>
      <c r="J24" s="8">
        <v>0</v>
      </c>
      <c r="K24" s="8"/>
      <c r="L24" s="8"/>
      <c r="M24" s="8"/>
      <c r="N24" s="83"/>
      <c r="O24" s="83"/>
      <c r="P24" s="83" t="str">
        <f t="shared" si="1"/>
        <v/>
      </c>
      <c r="Q24" s="83" t="str">
        <f t="shared" si="2"/>
        <v/>
      </c>
      <c r="R24" s="83" t="str">
        <f t="shared" si="3"/>
        <v/>
      </c>
      <c r="S24" s="83" t="str">
        <f t="shared" si="4"/>
        <v/>
      </c>
      <c r="T24" s="83" t="str">
        <f t="shared" si="5"/>
        <v/>
      </c>
      <c r="U24" s="83" t="str">
        <f t="shared" si="6"/>
        <v/>
      </c>
    </row>
    <row r="25" spans="1:21" ht="34">
      <c r="A25" s="8">
        <v>4020</v>
      </c>
      <c r="B25" s="8" t="s">
        <v>455</v>
      </c>
      <c r="C25" s="8">
        <v>3</v>
      </c>
      <c r="D25" s="8" t="s">
        <v>47</v>
      </c>
      <c r="E25" s="9" t="s">
        <v>624</v>
      </c>
      <c r="F25" s="32">
        <v>0</v>
      </c>
      <c r="G25" s="32">
        <v>0</v>
      </c>
      <c r="H25" s="8">
        <v>1</v>
      </c>
      <c r="I25" s="8">
        <v>1</v>
      </c>
      <c r="J25" s="8">
        <v>0</v>
      </c>
      <c r="K25" s="8"/>
      <c r="L25" s="8"/>
      <c r="M25" s="8"/>
      <c r="N25" s="83">
        <v>0.8</v>
      </c>
      <c r="O25" s="83"/>
      <c r="P25" s="83">
        <f t="shared" si="1"/>
        <v>1</v>
      </c>
      <c r="Q25" s="83" t="str">
        <f t="shared" si="2"/>
        <v/>
      </c>
      <c r="R25" s="83">
        <f t="shared" si="3"/>
        <v>1.2</v>
      </c>
      <c r="S25" s="83" t="str">
        <f t="shared" si="4"/>
        <v/>
      </c>
      <c r="T25" s="83">
        <f t="shared" si="5"/>
        <v>1.4</v>
      </c>
      <c r="U25" s="83" t="str">
        <f t="shared" si="6"/>
        <v/>
      </c>
    </row>
    <row r="26" spans="1:21" ht="34">
      <c r="A26" s="8">
        <v>4030</v>
      </c>
      <c r="B26" s="8" t="s">
        <v>455</v>
      </c>
      <c r="C26" s="8">
        <v>5</v>
      </c>
      <c r="D26" s="8" t="s">
        <v>49</v>
      </c>
      <c r="E26" s="9" t="s">
        <v>406</v>
      </c>
      <c r="F26" s="32">
        <v>0</v>
      </c>
      <c r="G26" s="32">
        <v>1</v>
      </c>
      <c r="H26" s="8"/>
      <c r="I26" s="8"/>
      <c r="J26" s="8">
        <v>0</v>
      </c>
      <c r="K26" s="8"/>
      <c r="L26" s="8"/>
      <c r="M26" s="8"/>
      <c r="N26" s="83"/>
      <c r="O26" s="83"/>
      <c r="P26" s="83" t="str">
        <f t="shared" si="1"/>
        <v/>
      </c>
      <c r="Q26" s="83" t="str">
        <f t="shared" si="2"/>
        <v/>
      </c>
      <c r="R26" s="83" t="str">
        <f t="shared" si="3"/>
        <v/>
      </c>
      <c r="S26" s="83" t="str">
        <f t="shared" si="4"/>
        <v/>
      </c>
      <c r="T26" s="83" t="str">
        <f t="shared" si="5"/>
        <v/>
      </c>
      <c r="U26" s="83" t="str">
        <f t="shared" si="6"/>
        <v/>
      </c>
    </row>
    <row r="27" spans="1:21">
      <c r="A27" s="8">
        <v>4040</v>
      </c>
      <c r="B27" s="8" t="s">
        <v>455</v>
      </c>
      <c r="C27" s="8">
        <v>7</v>
      </c>
      <c r="D27" s="8" t="s">
        <v>48</v>
      </c>
      <c r="E27" s="9" t="s">
        <v>625</v>
      </c>
      <c r="F27" s="32">
        <v>0</v>
      </c>
      <c r="G27" s="32">
        <v>0</v>
      </c>
      <c r="H27" s="8">
        <v>1</v>
      </c>
      <c r="I27" s="8">
        <v>1</v>
      </c>
      <c r="J27" s="8">
        <v>0</v>
      </c>
      <c r="K27" s="8"/>
      <c r="L27" s="8"/>
      <c r="M27" s="8"/>
      <c r="N27" s="83">
        <v>1</v>
      </c>
      <c r="O27" s="83"/>
      <c r="P27" s="83">
        <f t="shared" si="1"/>
        <v>1.2</v>
      </c>
      <c r="Q27" s="83" t="str">
        <f t="shared" si="2"/>
        <v/>
      </c>
      <c r="R27" s="83">
        <f t="shared" si="3"/>
        <v>1.4</v>
      </c>
      <c r="S27" s="83" t="str">
        <f t="shared" si="4"/>
        <v/>
      </c>
      <c r="T27" s="83">
        <f t="shared" si="5"/>
        <v>1.7</v>
      </c>
      <c r="U27" s="83" t="str">
        <f t="shared" si="6"/>
        <v/>
      </c>
    </row>
    <row r="28" spans="1:21">
      <c r="A28" s="8">
        <v>4050</v>
      </c>
      <c r="B28" s="8" t="s">
        <v>455</v>
      </c>
      <c r="C28" s="8">
        <v>10</v>
      </c>
      <c r="D28" s="8" t="s">
        <v>29</v>
      </c>
      <c r="E28" s="9" t="s">
        <v>407</v>
      </c>
      <c r="F28" s="32">
        <v>0</v>
      </c>
      <c r="G28" s="32">
        <v>1</v>
      </c>
      <c r="H28" s="8"/>
      <c r="I28" s="8"/>
      <c r="J28" s="8">
        <v>0</v>
      </c>
      <c r="K28" s="8"/>
      <c r="L28" s="8"/>
      <c r="M28" s="8"/>
      <c r="N28" s="83"/>
      <c r="O28" s="83"/>
      <c r="P28" s="83" t="str">
        <f t="shared" si="1"/>
        <v/>
      </c>
      <c r="Q28" s="83" t="str">
        <f t="shared" si="2"/>
        <v/>
      </c>
      <c r="R28" s="83" t="str">
        <f t="shared" si="3"/>
        <v/>
      </c>
      <c r="S28" s="83" t="str">
        <f t="shared" si="4"/>
        <v/>
      </c>
      <c r="T28" s="83" t="str">
        <f t="shared" si="5"/>
        <v/>
      </c>
      <c r="U28" s="83" t="str">
        <f t="shared" si="6"/>
        <v/>
      </c>
    </row>
    <row r="29" spans="1:21">
      <c r="A29" s="8">
        <v>4060</v>
      </c>
      <c r="B29" s="8" t="s">
        <v>455</v>
      </c>
      <c r="C29" s="8">
        <v>12</v>
      </c>
      <c r="D29" s="8" t="s">
        <v>50</v>
      </c>
      <c r="E29" s="9" t="s">
        <v>620</v>
      </c>
      <c r="F29" s="32">
        <v>0</v>
      </c>
      <c r="G29" s="32">
        <v>0</v>
      </c>
      <c r="H29" s="8">
        <v>1</v>
      </c>
      <c r="I29" s="8">
        <v>1</v>
      </c>
      <c r="J29" s="8">
        <v>2</v>
      </c>
      <c r="K29" s="8"/>
      <c r="L29" s="8"/>
      <c r="M29" s="8"/>
      <c r="N29" s="83">
        <v>0.5</v>
      </c>
      <c r="O29" s="83"/>
      <c r="P29" s="83">
        <f t="shared" si="1"/>
        <v>0.6</v>
      </c>
      <c r="Q29" s="83" t="str">
        <f t="shared" si="2"/>
        <v/>
      </c>
      <c r="R29" s="83">
        <f t="shared" si="3"/>
        <v>0.7</v>
      </c>
      <c r="S29" s="83" t="str">
        <f t="shared" si="4"/>
        <v/>
      </c>
      <c r="T29" s="83">
        <f t="shared" si="5"/>
        <v>0.8</v>
      </c>
      <c r="U29" s="83" t="str">
        <f t="shared" si="6"/>
        <v/>
      </c>
    </row>
    <row r="30" spans="1:21">
      <c r="A30" s="8">
        <v>4070</v>
      </c>
      <c r="B30" s="8" t="s">
        <v>455</v>
      </c>
      <c r="C30" s="8">
        <v>15</v>
      </c>
      <c r="D30" s="8" t="s">
        <v>51</v>
      </c>
      <c r="E30" s="9" t="s">
        <v>641</v>
      </c>
      <c r="F30" s="32">
        <v>0</v>
      </c>
      <c r="G30" s="32">
        <v>2</v>
      </c>
      <c r="H30" s="8"/>
      <c r="I30" s="8"/>
      <c r="J30" s="8">
        <v>0</v>
      </c>
      <c r="K30" s="8"/>
      <c r="L30" s="8"/>
      <c r="M30" s="8"/>
      <c r="N30" s="83"/>
      <c r="O30" s="83"/>
      <c r="P30" s="83" t="str">
        <f t="shared" si="1"/>
        <v/>
      </c>
      <c r="Q30" s="83" t="str">
        <f t="shared" si="2"/>
        <v/>
      </c>
      <c r="R30" s="83" t="str">
        <f t="shared" si="3"/>
        <v/>
      </c>
      <c r="S30" s="83" t="str">
        <f t="shared" si="4"/>
        <v/>
      </c>
      <c r="T30" s="83" t="str">
        <f t="shared" si="5"/>
        <v/>
      </c>
      <c r="U30" s="83" t="str">
        <f t="shared" si="6"/>
        <v/>
      </c>
    </row>
    <row r="31" spans="1:21" ht="51">
      <c r="A31" s="6">
        <v>5010</v>
      </c>
      <c r="B31" s="6" t="s">
        <v>457</v>
      </c>
      <c r="C31" s="6">
        <v>1</v>
      </c>
      <c r="D31" s="6" t="s">
        <v>331</v>
      </c>
      <c r="E31" s="56" t="s">
        <v>626</v>
      </c>
      <c r="F31" s="16">
        <v>0</v>
      </c>
      <c r="G31" s="16">
        <v>0</v>
      </c>
      <c r="H31" s="6">
        <v>0</v>
      </c>
      <c r="I31" s="6">
        <v>0</v>
      </c>
      <c r="J31" s="6">
        <v>0</v>
      </c>
      <c r="K31" s="6" t="s">
        <v>339</v>
      </c>
      <c r="L31" s="6">
        <v>0</v>
      </c>
      <c r="N31" s="23">
        <v>1</v>
      </c>
      <c r="O31" s="23">
        <v>0.2</v>
      </c>
      <c r="P31" s="23">
        <f t="shared" si="1"/>
        <v>1.2</v>
      </c>
      <c r="Q31" s="23">
        <f t="shared" si="2"/>
        <v>0.2</v>
      </c>
      <c r="R31" s="23">
        <f t="shared" si="3"/>
        <v>1.4</v>
      </c>
      <c r="S31" s="23">
        <f t="shared" si="4"/>
        <v>0.2</v>
      </c>
      <c r="T31" s="23">
        <f t="shared" si="5"/>
        <v>1.7</v>
      </c>
      <c r="U31" s="23">
        <f t="shared" si="6"/>
        <v>0.2</v>
      </c>
    </row>
    <row r="32" spans="1:21">
      <c r="A32" s="6">
        <v>5020</v>
      </c>
      <c r="B32" s="6" t="s">
        <v>457</v>
      </c>
      <c r="C32" s="6">
        <v>3</v>
      </c>
      <c r="D32" s="6" t="s">
        <v>637</v>
      </c>
      <c r="E32" s="56" t="s">
        <v>627</v>
      </c>
      <c r="F32" s="16">
        <v>0</v>
      </c>
      <c r="G32" s="16">
        <v>0</v>
      </c>
      <c r="H32" s="6">
        <v>2</v>
      </c>
      <c r="I32" s="6">
        <v>1</v>
      </c>
      <c r="J32" s="6">
        <v>0</v>
      </c>
      <c r="N32" s="23">
        <v>1.2</v>
      </c>
      <c r="O32" s="23"/>
      <c r="P32" s="23">
        <f t="shared" si="1"/>
        <v>1.4</v>
      </c>
      <c r="Q32" s="23" t="str">
        <f t="shared" si="2"/>
        <v/>
      </c>
      <c r="R32" s="23">
        <f t="shared" si="3"/>
        <v>1.7</v>
      </c>
      <c r="S32" s="23" t="str">
        <f t="shared" si="4"/>
        <v/>
      </c>
      <c r="T32" s="23">
        <f t="shared" si="5"/>
        <v>2</v>
      </c>
      <c r="U32" s="23" t="str">
        <f t="shared" si="6"/>
        <v/>
      </c>
    </row>
    <row r="33" spans="1:21" ht="34">
      <c r="A33" s="6">
        <v>5030</v>
      </c>
      <c r="B33" s="6" t="s">
        <v>457</v>
      </c>
      <c r="C33" s="6">
        <v>5</v>
      </c>
      <c r="D33" s="6" t="s">
        <v>333</v>
      </c>
      <c r="E33" s="56" t="s">
        <v>634</v>
      </c>
      <c r="F33" s="16">
        <v>0</v>
      </c>
      <c r="G33" s="16">
        <v>0</v>
      </c>
      <c r="H33" s="6">
        <v>0</v>
      </c>
      <c r="I33" s="6">
        <v>2</v>
      </c>
      <c r="J33" s="6">
        <v>1</v>
      </c>
      <c r="K33" s="6" t="s">
        <v>498</v>
      </c>
      <c r="L33" s="6">
        <v>0</v>
      </c>
      <c r="N33" s="23">
        <v>1.2</v>
      </c>
      <c r="O33" s="86">
        <f>N33*50%</f>
        <v>0.6</v>
      </c>
      <c r="P33" s="23">
        <f t="shared" si="1"/>
        <v>1.4</v>
      </c>
      <c r="Q33" s="23">
        <f t="shared" si="2"/>
        <v>0.7</v>
      </c>
      <c r="R33" s="23">
        <f t="shared" si="3"/>
        <v>1.7</v>
      </c>
      <c r="S33" s="23">
        <f t="shared" si="4"/>
        <v>0.8</v>
      </c>
      <c r="T33" s="23">
        <f t="shared" si="5"/>
        <v>2</v>
      </c>
      <c r="U33" s="23">
        <f t="shared" si="6"/>
        <v>1</v>
      </c>
    </row>
    <row r="34" spans="1:21" ht="34">
      <c r="A34" s="6">
        <v>5040</v>
      </c>
      <c r="B34" s="6" t="s">
        <v>457</v>
      </c>
      <c r="C34" s="6">
        <v>7</v>
      </c>
      <c r="D34" s="6" t="s">
        <v>334</v>
      </c>
      <c r="E34" s="56" t="s">
        <v>628</v>
      </c>
      <c r="F34" s="16">
        <v>0</v>
      </c>
      <c r="G34" s="16">
        <v>0</v>
      </c>
      <c r="H34" s="6">
        <v>0</v>
      </c>
      <c r="I34" s="6">
        <v>0</v>
      </c>
      <c r="J34" s="6">
        <v>1</v>
      </c>
      <c r="K34" s="6" t="s">
        <v>339</v>
      </c>
      <c r="L34" s="6">
        <v>0</v>
      </c>
      <c r="N34" s="23">
        <v>0.7</v>
      </c>
      <c r="O34" s="23">
        <v>0.7</v>
      </c>
      <c r="P34" s="23">
        <f t="shared" si="1"/>
        <v>0.8</v>
      </c>
      <c r="Q34" s="23">
        <f t="shared" si="2"/>
        <v>0.8</v>
      </c>
      <c r="R34" s="23">
        <f t="shared" si="3"/>
        <v>1</v>
      </c>
      <c r="S34" s="23">
        <f t="shared" si="4"/>
        <v>1</v>
      </c>
      <c r="T34" s="23">
        <f t="shared" si="5"/>
        <v>1.2</v>
      </c>
      <c r="U34" s="23">
        <f t="shared" si="6"/>
        <v>1.2</v>
      </c>
    </row>
    <row r="35" spans="1:21" ht="34">
      <c r="A35" s="6">
        <v>5050</v>
      </c>
      <c r="B35" s="6" t="s">
        <v>457</v>
      </c>
      <c r="C35" s="6">
        <v>10</v>
      </c>
      <c r="D35" s="6" t="s">
        <v>332</v>
      </c>
      <c r="E35" s="56" t="s">
        <v>629</v>
      </c>
      <c r="F35" s="16">
        <v>0</v>
      </c>
      <c r="G35" s="16">
        <v>0</v>
      </c>
      <c r="H35" s="6">
        <v>0</v>
      </c>
      <c r="I35" s="6">
        <v>0</v>
      </c>
      <c r="J35" s="6">
        <v>0</v>
      </c>
      <c r="N35" s="23">
        <v>1.5</v>
      </c>
      <c r="O35" s="23"/>
      <c r="P35" s="23">
        <f t="shared" si="1"/>
        <v>1.8</v>
      </c>
      <c r="Q35" s="23" t="str">
        <f t="shared" si="2"/>
        <v/>
      </c>
      <c r="R35" s="23">
        <f t="shared" si="3"/>
        <v>2.2000000000000002</v>
      </c>
      <c r="S35" s="23" t="str">
        <f t="shared" si="4"/>
        <v/>
      </c>
      <c r="T35" s="23">
        <f t="shared" si="5"/>
        <v>2.6</v>
      </c>
      <c r="U35" s="23" t="str">
        <f t="shared" si="6"/>
        <v/>
      </c>
    </row>
    <row r="36" spans="1:21" ht="54" customHeight="1">
      <c r="A36" s="6">
        <v>5060</v>
      </c>
      <c r="B36" s="6" t="s">
        <v>457</v>
      </c>
      <c r="C36" s="6">
        <v>12</v>
      </c>
      <c r="D36" s="6" t="s">
        <v>336</v>
      </c>
      <c r="E36" s="56" t="s">
        <v>635</v>
      </c>
      <c r="F36" s="16">
        <v>0</v>
      </c>
      <c r="G36" s="16">
        <v>0</v>
      </c>
      <c r="H36" s="6">
        <v>0</v>
      </c>
      <c r="I36" s="6">
        <v>0</v>
      </c>
      <c r="J36" s="6">
        <v>0</v>
      </c>
      <c r="N36" s="23">
        <v>1.8</v>
      </c>
      <c r="O36" s="23"/>
      <c r="P36" s="23">
        <f t="shared" si="1"/>
        <v>2.2000000000000002</v>
      </c>
      <c r="Q36" s="23" t="str">
        <f t="shared" si="2"/>
        <v/>
      </c>
      <c r="R36" s="23">
        <f t="shared" si="3"/>
        <v>2.6</v>
      </c>
      <c r="S36" s="23" t="str">
        <f t="shared" si="4"/>
        <v/>
      </c>
      <c r="T36" s="23">
        <f t="shared" si="5"/>
        <v>3.1</v>
      </c>
      <c r="U36" s="23" t="str">
        <f t="shared" si="6"/>
        <v/>
      </c>
    </row>
    <row r="37" spans="1:21" ht="34">
      <c r="A37" s="6">
        <v>5070</v>
      </c>
      <c r="B37" s="6" t="s">
        <v>457</v>
      </c>
      <c r="C37" s="6">
        <v>15</v>
      </c>
      <c r="D37" s="6" t="s">
        <v>335</v>
      </c>
      <c r="E37" s="56" t="s">
        <v>636</v>
      </c>
      <c r="F37" s="16">
        <v>0</v>
      </c>
      <c r="G37" s="16">
        <v>0</v>
      </c>
      <c r="H37" s="6">
        <v>0</v>
      </c>
      <c r="I37" s="6">
        <v>0</v>
      </c>
      <c r="J37" s="6">
        <v>1</v>
      </c>
      <c r="K37" s="6" t="s">
        <v>339</v>
      </c>
      <c r="L37" s="6">
        <v>0</v>
      </c>
      <c r="N37" s="23">
        <v>1</v>
      </c>
      <c r="O37" s="23">
        <v>1.2</v>
      </c>
      <c r="P37" s="23">
        <f t="shared" si="1"/>
        <v>1.2</v>
      </c>
      <c r="Q37" s="23">
        <f t="shared" si="2"/>
        <v>1.4</v>
      </c>
      <c r="R37" s="23">
        <f t="shared" si="3"/>
        <v>1.4</v>
      </c>
      <c r="S37" s="23">
        <f t="shared" si="4"/>
        <v>1.7</v>
      </c>
      <c r="T37" s="23">
        <f t="shared" si="5"/>
        <v>1.7</v>
      </c>
      <c r="U37" s="23">
        <f t="shared" si="6"/>
        <v>2</v>
      </c>
    </row>
  </sheetData>
  <mergeCells count="1">
    <mergeCell ref="W2:Y2"/>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C3889-A9A5-4973-A040-073F596EADE3}">
  <dimension ref="A1:AR17"/>
  <sheetViews>
    <sheetView zoomScale="40" zoomScaleNormal="40" workbookViewId="0">
      <pane xSplit="2" topLeftCell="C1" activePane="topRight" state="frozen"/>
      <selection activeCell="D5" sqref="D5"/>
      <selection pane="topRight" activeCell="D5" sqref="D5"/>
    </sheetView>
  </sheetViews>
  <sheetFormatPr defaultColWidth="8.58203125" defaultRowHeight="17"/>
  <cols>
    <col min="1" max="3" width="20.58203125" style="6" customWidth="1"/>
    <col min="4" max="4" width="30.58203125" style="6" customWidth="1"/>
    <col min="5" max="22" width="20.58203125" style="6" customWidth="1"/>
    <col min="23" max="23" width="20.58203125" style="29" customWidth="1"/>
    <col min="24" max="24" width="20.58203125" style="25" customWidth="1"/>
    <col min="25" max="25" width="20.58203125" style="6" customWidth="1"/>
    <col min="26" max="26" width="65.58203125" style="16" customWidth="1"/>
    <col min="27" max="27" width="20.58203125" style="16" customWidth="1"/>
    <col min="28" max="34" width="20.58203125" style="6" customWidth="1"/>
    <col min="35" max="40" width="25.58203125" style="6" customWidth="1"/>
    <col min="41" max="16384" width="8.58203125" style="1"/>
  </cols>
  <sheetData>
    <row r="1" spans="1:44" ht="34">
      <c r="A1" s="4" t="s">
        <v>98</v>
      </c>
      <c r="B1" s="4" t="s">
        <v>1</v>
      </c>
      <c r="C1" s="4" t="s">
        <v>76</v>
      </c>
      <c r="D1" s="4" t="s">
        <v>122</v>
      </c>
      <c r="E1" s="3" t="s">
        <v>573</v>
      </c>
      <c r="F1" s="81" t="s">
        <v>574</v>
      </c>
      <c r="G1" s="81" t="s">
        <v>575</v>
      </c>
      <c r="H1" s="112" t="s">
        <v>716</v>
      </c>
      <c r="I1" s="112" t="s">
        <v>717</v>
      </c>
      <c r="J1" s="3" t="s">
        <v>576</v>
      </c>
      <c r="K1" s="81" t="s">
        <v>577</v>
      </c>
      <c r="L1" s="81" t="s">
        <v>578</v>
      </c>
      <c r="M1" s="112" t="s">
        <v>720</v>
      </c>
      <c r="N1" s="112" t="s">
        <v>722</v>
      </c>
      <c r="O1" s="3" t="s">
        <v>579</v>
      </c>
      <c r="P1" s="81" t="s">
        <v>580</v>
      </c>
      <c r="Q1" s="81" t="s">
        <v>581</v>
      </c>
      <c r="R1" s="112" t="s">
        <v>724</v>
      </c>
      <c r="S1" s="112" t="s">
        <v>726</v>
      </c>
      <c r="T1" s="3" t="s">
        <v>126</v>
      </c>
      <c r="U1" s="3" t="s">
        <v>127</v>
      </c>
      <c r="V1" s="3" t="s">
        <v>209</v>
      </c>
      <c r="W1" s="27" t="s">
        <v>125</v>
      </c>
      <c r="X1" s="24" t="s">
        <v>37</v>
      </c>
      <c r="Y1" s="4" t="s">
        <v>79</v>
      </c>
      <c r="Z1" s="3" t="s">
        <v>185</v>
      </c>
      <c r="AA1" s="78" t="s">
        <v>396</v>
      </c>
      <c r="AB1" s="3" t="s">
        <v>186</v>
      </c>
      <c r="AC1" s="3" t="s">
        <v>187</v>
      </c>
      <c r="AD1" s="78" t="s">
        <v>413</v>
      </c>
      <c r="AE1" s="3" t="s">
        <v>188</v>
      </c>
      <c r="AF1" s="3" t="s">
        <v>285</v>
      </c>
      <c r="AG1" s="3" t="s">
        <v>286</v>
      </c>
      <c r="AH1" s="3" t="s">
        <v>287</v>
      </c>
      <c r="AI1" s="3" t="s">
        <v>562</v>
      </c>
      <c r="AJ1" s="3" t="s">
        <v>563</v>
      </c>
      <c r="AK1" s="81" t="s">
        <v>565</v>
      </c>
      <c r="AL1" s="81" t="s">
        <v>567</v>
      </c>
      <c r="AM1" s="81" t="s">
        <v>570</v>
      </c>
      <c r="AN1" s="81" t="s">
        <v>569</v>
      </c>
    </row>
    <row r="2" spans="1:44" ht="102">
      <c r="A2" s="4" t="s">
        <v>80</v>
      </c>
      <c r="B2" s="4" t="s">
        <v>21</v>
      </c>
      <c r="C2" s="4" t="s">
        <v>75</v>
      </c>
      <c r="D2" s="4" t="s">
        <v>120</v>
      </c>
      <c r="E2" s="4" t="s">
        <v>552</v>
      </c>
      <c r="F2" s="82" t="s">
        <v>555</v>
      </c>
      <c r="G2" s="82" t="s">
        <v>556</v>
      </c>
      <c r="H2" s="114" t="s">
        <v>778</v>
      </c>
      <c r="I2" s="114" t="s">
        <v>779</v>
      </c>
      <c r="J2" s="4" t="s">
        <v>553</v>
      </c>
      <c r="K2" s="82" t="s">
        <v>557</v>
      </c>
      <c r="L2" s="82" t="s">
        <v>558</v>
      </c>
      <c r="M2" s="114" t="s">
        <v>780</v>
      </c>
      <c r="N2" s="114" t="s">
        <v>781</v>
      </c>
      <c r="O2" s="4" t="s">
        <v>554</v>
      </c>
      <c r="P2" s="82" t="s">
        <v>559</v>
      </c>
      <c r="Q2" s="82" t="s">
        <v>560</v>
      </c>
      <c r="R2" s="114" t="s">
        <v>782</v>
      </c>
      <c r="S2" s="114" t="s">
        <v>783</v>
      </c>
      <c r="T2" s="4" t="s">
        <v>131</v>
      </c>
      <c r="U2" s="4" t="s">
        <v>132</v>
      </c>
      <c r="V2" s="4" t="s">
        <v>133</v>
      </c>
      <c r="W2" s="28" t="s">
        <v>134</v>
      </c>
      <c r="X2" s="24" t="s">
        <v>36</v>
      </c>
      <c r="Y2" s="4" t="s">
        <v>77</v>
      </c>
      <c r="Z2" s="3" t="s">
        <v>78</v>
      </c>
      <c r="AA2" s="78" t="s">
        <v>402</v>
      </c>
      <c r="AB2" s="3" t="s">
        <v>497</v>
      </c>
      <c r="AC2" s="3" t="s">
        <v>189</v>
      </c>
      <c r="AD2" s="78" t="s">
        <v>416</v>
      </c>
      <c r="AE2" s="3" t="s">
        <v>190</v>
      </c>
      <c r="AF2" s="3" t="s">
        <v>288</v>
      </c>
      <c r="AG2" s="3" t="s">
        <v>289</v>
      </c>
      <c r="AH2" s="3" t="s">
        <v>290</v>
      </c>
      <c r="AI2" s="3" t="s">
        <v>561</v>
      </c>
      <c r="AJ2" s="81" t="s">
        <v>564</v>
      </c>
      <c r="AK2" s="81" t="s">
        <v>566</v>
      </c>
      <c r="AL2" s="81" t="s">
        <v>568</v>
      </c>
      <c r="AM2" s="81" t="s">
        <v>571</v>
      </c>
      <c r="AN2" s="81" t="s">
        <v>572</v>
      </c>
      <c r="AP2" s="151" t="s">
        <v>265</v>
      </c>
      <c r="AQ2" s="151"/>
      <c r="AR2" s="151"/>
    </row>
    <row r="3" spans="1:44">
      <c r="A3" s="6">
        <v>310101</v>
      </c>
      <c r="B3" s="6" t="s">
        <v>452</v>
      </c>
      <c r="C3" s="6" t="s">
        <v>474</v>
      </c>
      <c r="D3" s="18" t="s">
        <v>213</v>
      </c>
      <c r="J3" s="6">
        <v>1</v>
      </c>
      <c r="K3" s="6">
        <v>2</v>
      </c>
      <c r="L3" s="6">
        <v>3</v>
      </c>
      <c r="M3" s="6">
        <v>4</v>
      </c>
      <c r="N3" s="6">
        <v>5</v>
      </c>
      <c r="X3" s="25">
        <v>311010</v>
      </c>
      <c r="Y3" s="6" t="s">
        <v>218</v>
      </c>
      <c r="Z3" s="7" t="s">
        <v>598</v>
      </c>
      <c r="AA3" s="16">
        <v>10</v>
      </c>
      <c r="AB3" s="6">
        <v>0</v>
      </c>
      <c r="AC3" s="6">
        <v>0</v>
      </c>
      <c r="AD3" s="6">
        <v>0</v>
      </c>
      <c r="AE3" s="6">
        <v>0</v>
      </c>
      <c r="AI3" s="23">
        <v>1.5</v>
      </c>
      <c r="AJ3" s="23"/>
      <c r="AK3" s="23">
        <f>IFERROR(IF(ROUND(AI3*1.2,1)=0,"",ROUND(AI3*1.2,1)),"")</f>
        <v>1.8</v>
      </c>
      <c r="AL3" s="23" t="str">
        <f t="shared" ref="AL3:AN3" si="0">IFERROR(IF(ROUND(AJ3*1.2,1)=0,"",ROUND(AJ3*1.2,1)),"")</f>
        <v/>
      </c>
      <c r="AM3" s="23">
        <f t="shared" si="0"/>
        <v>2.2000000000000002</v>
      </c>
      <c r="AN3" s="23" t="str">
        <f t="shared" si="0"/>
        <v/>
      </c>
      <c r="AP3" s="6">
        <v>8</v>
      </c>
      <c r="AQ3" s="6">
        <v>1</v>
      </c>
      <c r="AR3" s="6">
        <v>2</v>
      </c>
    </row>
    <row r="4" spans="1:44">
      <c r="A4" s="6">
        <v>310102</v>
      </c>
      <c r="B4" s="6" t="s">
        <v>452</v>
      </c>
      <c r="C4" s="6" t="s">
        <v>475</v>
      </c>
      <c r="D4" s="18" t="s">
        <v>216</v>
      </c>
      <c r="J4" s="6">
        <v>2</v>
      </c>
      <c r="K4" s="6">
        <v>3</v>
      </c>
      <c r="L4" s="6">
        <v>4</v>
      </c>
      <c r="M4" s="6">
        <v>5</v>
      </c>
      <c r="N4" s="6">
        <v>6</v>
      </c>
      <c r="T4" s="36">
        <v>0.15</v>
      </c>
      <c r="U4" s="22"/>
      <c r="X4" s="25">
        <v>311020</v>
      </c>
      <c r="Y4" s="6" t="s">
        <v>330</v>
      </c>
      <c r="Z4" s="7" t="s">
        <v>599</v>
      </c>
      <c r="AA4" s="16">
        <v>30</v>
      </c>
      <c r="AB4" s="6">
        <v>0</v>
      </c>
      <c r="AC4" s="6">
        <v>0</v>
      </c>
      <c r="AD4" s="6">
        <v>1</v>
      </c>
      <c r="AE4" s="6">
        <v>0</v>
      </c>
      <c r="AI4" s="23">
        <v>1.8</v>
      </c>
      <c r="AJ4" s="23"/>
      <c r="AK4" s="23">
        <f t="shared" ref="AK4:AK17" si="1">IFERROR(IF(ROUND(AI4*1.2,1)=0,"",ROUND(AI4*1.2,1)),"")</f>
        <v>2.2000000000000002</v>
      </c>
      <c r="AL4" s="23" t="str">
        <f t="shared" ref="AL4:AL17" si="2">IFERROR(IF(ROUND(AJ4*1.2,1)=0,"",ROUND(AJ4*1.2,1)),"")</f>
        <v/>
      </c>
      <c r="AM4" s="23">
        <f t="shared" ref="AM4:AM17" si="3">IFERROR(IF(ROUND(AK4*1.2,1)=0,"",ROUND(AK4*1.2,1)),"")</f>
        <v>2.6</v>
      </c>
      <c r="AN4" s="23" t="str">
        <f t="shared" ref="AN4:AN17" si="4">IFERROR(IF(ROUND(AL4*1.2,1)=0,"",ROUND(AL4*1.2,1)),"")</f>
        <v/>
      </c>
      <c r="AP4" s="6">
        <v>7</v>
      </c>
      <c r="AQ4" s="6" t="s">
        <v>267</v>
      </c>
      <c r="AR4" s="6">
        <v>3</v>
      </c>
    </row>
    <row r="5" spans="1:44">
      <c r="A5" s="6">
        <v>310103</v>
      </c>
      <c r="B5" s="6" t="s">
        <v>452</v>
      </c>
      <c r="C5" s="6" t="s">
        <v>476</v>
      </c>
      <c r="D5" s="18" t="s">
        <v>214</v>
      </c>
      <c r="J5" s="6">
        <v>3</v>
      </c>
      <c r="K5" s="6">
        <v>4</v>
      </c>
      <c r="L5" s="6">
        <v>5</v>
      </c>
      <c r="M5" s="6">
        <v>6</v>
      </c>
      <c r="N5" s="6">
        <v>7</v>
      </c>
      <c r="U5" s="22">
        <v>0.1</v>
      </c>
      <c r="X5" s="25">
        <v>311030</v>
      </c>
      <c r="Y5" s="6" t="s">
        <v>222</v>
      </c>
      <c r="Z5" s="7" t="s">
        <v>598</v>
      </c>
      <c r="AA5" s="16">
        <v>50</v>
      </c>
      <c r="AB5" s="6">
        <v>0</v>
      </c>
      <c r="AC5" s="6">
        <v>0</v>
      </c>
      <c r="AD5" s="6">
        <v>0</v>
      </c>
      <c r="AE5" s="6">
        <v>0</v>
      </c>
      <c r="AI5" s="23">
        <v>2.5</v>
      </c>
      <c r="AJ5" s="23"/>
      <c r="AK5" s="23">
        <f t="shared" si="1"/>
        <v>3</v>
      </c>
      <c r="AL5" s="23" t="str">
        <f t="shared" si="2"/>
        <v/>
      </c>
      <c r="AM5" s="23">
        <f t="shared" si="3"/>
        <v>3.6</v>
      </c>
      <c r="AN5" s="23" t="str">
        <f t="shared" si="4"/>
        <v/>
      </c>
      <c r="AP5" s="6">
        <v>6</v>
      </c>
      <c r="AQ5" s="6">
        <v>5</v>
      </c>
      <c r="AR5" s="6">
        <v>4</v>
      </c>
    </row>
    <row r="6" spans="1:44">
      <c r="A6" s="8">
        <v>310201</v>
      </c>
      <c r="B6" s="8" t="s">
        <v>453</v>
      </c>
      <c r="C6" s="8" t="s">
        <v>477</v>
      </c>
      <c r="D6" s="34" t="s">
        <v>213</v>
      </c>
      <c r="E6" s="8"/>
      <c r="F6" s="8"/>
      <c r="G6" s="8"/>
      <c r="H6" s="8"/>
      <c r="I6" s="8"/>
      <c r="J6" s="8">
        <v>1</v>
      </c>
      <c r="K6" s="8">
        <v>2</v>
      </c>
      <c r="L6" s="8">
        <v>3</v>
      </c>
      <c r="M6" s="8">
        <v>4</v>
      </c>
      <c r="N6" s="8">
        <v>5</v>
      </c>
      <c r="O6" s="8"/>
      <c r="P6" s="8"/>
      <c r="Q6" s="8"/>
      <c r="R6" s="8"/>
      <c r="S6" s="8"/>
      <c r="T6" s="8"/>
      <c r="U6" s="8"/>
      <c r="V6" s="8"/>
      <c r="W6" s="30"/>
      <c r="X6" s="26">
        <v>313010</v>
      </c>
      <c r="Y6" s="8" t="s">
        <v>223</v>
      </c>
      <c r="Z6" s="9" t="s">
        <v>600</v>
      </c>
      <c r="AA6" s="32">
        <v>10</v>
      </c>
      <c r="AB6" s="8">
        <v>0</v>
      </c>
      <c r="AC6" s="8">
        <v>1</v>
      </c>
      <c r="AD6" s="8">
        <v>1</v>
      </c>
      <c r="AE6" s="8">
        <v>0</v>
      </c>
      <c r="AF6" s="8"/>
      <c r="AG6" s="8"/>
      <c r="AH6" s="8"/>
      <c r="AI6" s="83">
        <v>1.5</v>
      </c>
      <c r="AJ6" s="83"/>
      <c r="AK6" s="83">
        <f t="shared" si="1"/>
        <v>1.8</v>
      </c>
      <c r="AL6" s="83" t="str">
        <f t="shared" si="2"/>
        <v/>
      </c>
      <c r="AM6" s="83">
        <f t="shared" si="3"/>
        <v>2.2000000000000002</v>
      </c>
      <c r="AN6" s="83" t="str">
        <f t="shared" si="4"/>
        <v/>
      </c>
      <c r="AP6" s="6" t="s">
        <v>491</v>
      </c>
      <c r="AQ6" s="6">
        <v>9</v>
      </c>
    </row>
    <row r="7" spans="1:44" ht="34">
      <c r="A7" s="8">
        <v>310202</v>
      </c>
      <c r="B7" s="8" t="s">
        <v>453</v>
      </c>
      <c r="C7" s="8" t="s">
        <v>478</v>
      </c>
      <c r="D7" s="34" t="s">
        <v>215</v>
      </c>
      <c r="E7" s="8"/>
      <c r="F7" s="8"/>
      <c r="G7" s="8"/>
      <c r="H7" s="8"/>
      <c r="I7" s="8"/>
      <c r="J7" s="8">
        <v>2</v>
      </c>
      <c r="K7" s="8">
        <v>3</v>
      </c>
      <c r="L7" s="8">
        <v>4</v>
      </c>
      <c r="M7" s="8">
        <v>5</v>
      </c>
      <c r="N7" s="8">
        <v>6</v>
      </c>
      <c r="O7" s="8"/>
      <c r="P7" s="8"/>
      <c r="Q7" s="8"/>
      <c r="R7" s="8"/>
      <c r="S7" s="8"/>
      <c r="T7" s="36">
        <v>7.0000000000000007E-2</v>
      </c>
      <c r="U7" s="36">
        <v>7.0000000000000007E-2</v>
      </c>
      <c r="V7" s="33"/>
      <c r="W7" s="30"/>
      <c r="X7" s="26">
        <v>313020</v>
      </c>
      <c r="Y7" s="8" t="s">
        <v>220</v>
      </c>
      <c r="Z7" s="9" t="s">
        <v>608</v>
      </c>
      <c r="AA7" s="32">
        <v>30</v>
      </c>
      <c r="AB7" s="8">
        <v>0</v>
      </c>
      <c r="AC7" s="8">
        <v>0</v>
      </c>
      <c r="AD7" s="8">
        <v>1</v>
      </c>
      <c r="AE7" s="8">
        <v>1</v>
      </c>
      <c r="AF7" s="8" t="s">
        <v>277</v>
      </c>
      <c r="AG7" s="8">
        <v>1</v>
      </c>
      <c r="AH7" s="8">
        <v>1</v>
      </c>
      <c r="AI7" s="83">
        <v>0.8</v>
      </c>
      <c r="AJ7" s="83">
        <v>0.8</v>
      </c>
      <c r="AK7" s="83">
        <f t="shared" si="1"/>
        <v>1</v>
      </c>
      <c r="AL7" s="83">
        <f t="shared" si="2"/>
        <v>1</v>
      </c>
      <c r="AM7" s="83">
        <f t="shared" si="3"/>
        <v>1.2</v>
      </c>
      <c r="AN7" s="83">
        <f t="shared" si="4"/>
        <v>1.2</v>
      </c>
    </row>
    <row r="8" spans="1:44">
      <c r="A8" s="8">
        <v>310203</v>
      </c>
      <c r="B8" s="8" t="s">
        <v>453</v>
      </c>
      <c r="C8" s="8" t="s">
        <v>479</v>
      </c>
      <c r="D8" s="34" t="s">
        <v>214</v>
      </c>
      <c r="E8" s="8"/>
      <c r="F8" s="8"/>
      <c r="G8" s="8"/>
      <c r="H8" s="8"/>
      <c r="I8" s="8"/>
      <c r="J8" s="8">
        <v>3</v>
      </c>
      <c r="K8" s="8">
        <v>4</v>
      </c>
      <c r="L8" s="8">
        <v>5</v>
      </c>
      <c r="M8" s="8">
        <v>6</v>
      </c>
      <c r="N8" s="8">
        <v>7</v>
      </c>
      <c r="O8" s="8"/>
      <c r="P8" s="8"/>
      <c r="Q8" s="8"/>
      <c r="R8" s="8"/>
      <c r="S8" s="8"/>
      <c r="T8" s="33">
        <v>0.05</v>
      </c>
      <c r="U8" s="8"/>
      <c r="V8" s="33">
        <v>0.05</v>
      </c>
      <c r="W8" s="30"/>
      <c r="X8" s="26">
        <v>313030</v>
      </c>
      <c r="Y8" s="8" t="s">
        <v>228</v>
      </c>
      <c r="Z8" s="9" t="s">
        <v>607</v>
      </c>
      <c r="AA8" s="32">
        <v>50</v>
      </c>
      <c r="AB8" s="8">
        <v>0</v>
      </c>
      <c r="AC8" s="8">
        <v>1</v>
      </c>
      <c r="AD8" s="8">
        <v>1</v>
      </c>
      <c r="AE8" s="8">
        <v>2</v>
      </c>
      <c r="AF8" s="8"/>
      <c r="AG8" s="8"/>
      <c r="AH8" s="8"/>
      <c r="AI8" s="83">
        <v>1.2</v>
      </c>
      <c r="AJ8" s="83"/>
      <c r="AK8" s="83">
        <f t="shared" si="1"/>
        <v>1.4</v>
      </c>
      <c r="AL8" s="83" t="str">
        <f t="shared" si="2"/>
        <v/>
      </c>
      <c r="AM8" s="83">
        <f t="shared" si="3"/>
        <v>1.7</v>
      </c>
      <c r="AN8" s="83" t="str">
        <f t="shared" si="4"/>
        <v/>
      </c>
    </row>
    <row r="9" spans="1:44">
      <c r="A9" s="6">
        <v>310301</v>
      </c>
      <c r="B9" s="6" t="s">
        <v>454</v>
      </c>
      <c r="C9" s="6" t="s">
        <v>480</v>
      </c>
      <c r="D9" s="18" t="s">
        <v>213</v>
      </c>
      <c r="J9" s="6">
        <v>1</v>
      </c>
      <c r="K9" s="6">
        <v>2</v>
      </c>
      <c r="L9" s="6">
        <v>3</v>
      </c>
      <c r="M9" s="6">
        <v>4</v>
      </c>
      <c r="N9" s="6">
        <v>5</v>
      </c>
      <c r="X9" s="25">
        <v>312010</v>
      </c>
      <c r="Y9" s="6" t="s">
        <v>226</v>
      </c>
      <c r="Z9" s="80" t="s">
        <v>600</v>
      </c>
      <c r="AA9" s="16">
        <v>10</v>
      </c>
      <c r="AB9" s="16">
        <v>0</v>
      </c>
      <c r="AC9" s="16">
        <v>1</v>
      </c>
      <c r="AD9" s="16">
        <v>1</v>
      </c>
      <c r="AE9" s="16">
        <v>0</v>
      </c>
      <c r="AF9" s="16"/>
      <c r="AG9" s="16"/>
      <c r="AH9" s="16"/>
      <c r="AI9" s="84">
        <v>1.5</v>
      </c>
      <c r="AJ9" s="84"/>
      <c r="AK9" s="23">
        <f t="shared" si="1"/>
        <v>1.8</v>
      </c>
      <c r="AL9" s="23" t="str">
        <f t="shared" si="2"/>
        <v/>
      </c>
      <c r="AM9" s="23">
        <f t="shared" si="3"/>
        <v>2.2000000000000002</v>
      </c>
      <c r="AN9" s="23" t="str">
        <f t="shared" si="4"/>
        <v/>
      </c>
    </row>
    <row r="10" spans="1:44" ht="34">
      <c r="A10" s="6">
        <v>310302</v>
      </c>
      <c r="B10" s="6" t="s">
        <v>454</v>
      </c>
      <c r="C10" s="6" t="s">
        <v>481</v>
      </c>
      <c r="D10" s="18" t="s">
        <v>215</v>
      </c>
      <c r="J10" s="6">
        <v>2</v>
      </c>
      <c r="K10" s="6">
        <v>3</v>
      </c>
      <c r="L10" s="6">
        <v>4</v>
      </c>
      <c r="M10" s="6">
        <v>5</v>
      </c>
      <c r="N10" s="6">
        <v>6</v>
      </c>
      <c r="T10" s="22"/>
      <c r="U10" s="36">
        <v>0.15</v>
      </c>
      <c r="X10" s="25">
        <v>312020</v>
      </c>
      <c r="Y10" s="6" t="s">
        <v>219</v>
      </c>
      <c r="Z10" s="80" t="s">
        <v>601</v>
      </c>
      <c r="AA10" s="16">
        <v>30</v>
      </c>
      <c r="AB10" s="16">
        <v>0</v>
      </c>
      <c r="AC10" s="16">
        <v>0</v>
      </c>
      <c r="AD10" s="16">
        <v>0</v>
      </c>
      <c r="AE10" s="16">
        <v>1</v>
      </c>
      <c r="AF10" s="16" t="s">
        <v>499</v>
      </c>
      <c r="AG10" s="16">
        <v>0</v>
      </c>
      <c r="AH10" s="16"/>
      <c r="AI10" s="84">
        <v>1.2</v>
      </c>
      <c r="AJ10" s="84"/>
      <c r="AK10" s="23">
        <f t="shared" si="1"/>
        <v>1.4</v>
      </c>
      <c r="AL10" s="23" t="str">
        <f t="shared" si="2"/>
        <v/>
      </c>
      <c r="AM10" s="23">
        <f t="shared" si="3"/>
        <v>1.7</v>
      </c>
      <c r="AN10" s="23" t="str">
        <f t="shared" si="4"/>
        <v/>
      </c>
    </row>
    <row r="11" spans="1:44" ht="34">
      <c r="A11" s="6">
        <v>310303</v>
      </c>
      <c r="B11" s="6" t="s">
        <v>454</v>
      </c>
      <c r="C11" s="6" t="s">
        <v>482</v>
      </c>
      <c r="D11" s="18" t="s">
        <v>214</v>
      </c>
      <c r="J11" s="6">
        <v>3</v>
      </c>
      <c r="K11" s="6">
        <v>4</v>
      </c>
      <c r="L11" s="6">
        <v>5</v>
      </c>
      <c r="M11" s="6">
        <v>6</v>
      </c>
      <c r="N11" s="6">
        <v>7</v>
      </c>
      <c r="T11" s="22">
        <v>0.1</v>
      </c>
      <c r="X11" s="25">
        <v>312030</v>
      </c>
      <c r="Y11" s="6" t="s">
        <v>227</v>
      </c>
      <c r="Z11" s="80" t="s">
        <v>602</v>
      </c>
      <c r="AA11" s="16">
        <v>50</v>
      </c>
      <c r="AB11" s="16">
        <v>0</v>
      </c>
      <c r="AC11" s="16">
        <v>1</v>
      </c>
      <c r="AD11" s="16">
        <v>1</v>
      </c>
      <c r="AE11" s="16">
        <v>0</v>
      </c>
      <c r="AF11" s="16"/>
      <c r="AG11" s="16"/>
      <c r="AH11" s="16"/>
      <c r="AI11" s="84">
        <v>1.2</v>
      </c>
      <c r="AJ11" s="84">
        <v>1.2</v>
      </c>
      <c r="AK11" s="23">
        <f t="shared" si="1"/>
        <v>1.4</v>
      </c>
      <c r="AL11" s="23">
        <f t="shared" si="2"/>
        <v>1.4</v>
      </c>
      <c r="AM11" s="23">
        <f t="shared" si="3"/>
        <v>1.7</v>
      </c>
      <c r="AN11" s="23">
        <f t="shared" si="4"/>
        <v>1.7</v>
      </c>
    </row>
    <row r="12" spans="1:44">
      <c r="A12" s="8">
        <v>310401</v>
      </c>
      <c r="B12" s="8" t="s">
        <v>455</v>
      </c>
      <c r="C12" s="8" t="s">
        <v>483</v>
      </c>
      <c r="D12" s="34" t="s">
        <v>213</v>
      </c>
      <c r="E12" s="8"/>
      <c r="F12" s="8"/>
      <c r="G12" s="8"/>
      <c r="H12" s="8"/>
      <c r="I12" s="8"/>
      <c r="J12" s="8">
        <v>1</v>
      </c>
      <c r="K12" s="8">
        <v>2</v>
      </c>
      <c r="L12" s="8">
        <v>3</v>
      </c>
      <c r="M12" s="8">
        <v>4</v>
      </c>
      <c r="N12" s="8">
        <v>5</v>
      </c>
      <c r="O12" s="8"/>
      <c r="P12" s="8"/>
      <c r="Q12" s="8"/>
      <c r="R12" s="8"/>
      <c r="S12" s="8"/>
      <c r="T12" s="8"/>
      <c r="U12" s="8"/>
      <c r="V12" s="8"/>
      <c r="W12" s="30"/>
      <c r="X12" s="26">
        <v>314010</v>
      </c>
      <c r="Y12" s="8" t="s">
        <v>224</v>
      </c>
      <c r="Z12" s="9" t="s">
        <v>603</v>
      </c>
      <c r="AA12" s="32">
        <v>10</v>
      </c>
      <c r="AB12" s="32">
        <v>0</v>
      </c>
      <c r="AC12" s="32">
        <v>1</v>
      </c>
      <c r="AD12" s="32">
        <v>1</v>
      </c>
      <c r="AE12" s="32">
        <v>0</v>
      </c>
      <c r="AF12" s="32"/>
      <c r="AG12" s="32"/>
      <c r="AH12" s="32"/>
      <c r="AI12" s="85">
        <v>1.5</v>
      </c>
      <c r="AJ12" s="85"/>
      <c r="AK12" s="83">
        <f t="shared" si="1"/>
        <v>1.8</v>
      </c>
      <c r="AL12" s="83" t="str">
        <f t="shared" si="2"/>
        <v/>
      </c>
      <c r="AM12" s="83">
        <f t="shared" si="3"/>
        <v>2.2000000000000002</v>
      </c>
      <c r="AN12" s="83" t="str">
        <f t="shared" si="4"/>
        <v/>
      </c>
    </row>
    <row r="13" spans="1:44" ht="34">
      <c r="A13" s="8">
        <v>310402</v>
      </c>
      <c r="B13" s="8" t="s">
        <v>455</v>
      </c>
      <c r="C13" s="8" t="s">
        <v>484</v>
      </c>
      <c r="D13" s="34" t="s">
        <v>217</v>
      </c>
      <c r="E13" s="8"/>
      <c r="F13" s="8"/>
      <c r="G13" s="8"/>
      <c r="H13" s="8"/>
      <c r="I13" s="8"/>
      <c r="J13" s="35">
        <v>5</v>
      </c>
      <c r="K13" s="35">
        <v>6</v>
      </c>
      <c r="L13" s="35">
        <v>7</v>
      </c>
      <c r="M13" s="35">
        <v>8</v>
      </c>
      <c r="N13" s="35">
        <v>9</v>
      </c>
      <c r="O13" s="8"/>
      <c r="P13" s="8"/>
      <c r="Q13" s="8"/>
      <c r="R13" s="8"/>
      <c r="S13" s="8"/>
      <c r="T13" s="36">
        <v>0.1</v>
      </c>
      <c r="U13" s="8"/>
      <c r="V13" s="33"/>
      <c r="W13" s="30"/>
      <c r="X13" s="26">
        <v>314020</v>
      </c>
      <c r="Y13" s="8" t="s">
        <v>221</v>
      </c>
      <c r="Z13" s="9" t="s">
        <v>604</v>
      </c>
      <c r="AA13" s="32">
        <v>30</v>
      </c>
      <c r="AB13" s="32">
        <v>0</v>
      </c>
      <c r="AC13" s="32">
        <v>0</v>
      </c>
      <c r="AD13" s="32">
        <v>0</v>
      </c>
      <c r="AE13" s="32">
        <v>0</v>
      </c>
      <c r="AF13" s="32"/>
      <c r="AG13" s="32"/>
      <c r="AH13" s="32"/>
      <c r="AI13" s="85">
        <v>1.8</v>
      </c>
      <c r="AJ13" s="85"/>
      <c r="AK13" s="83">
        <f t="shared" si="1"/>
        <v>2.2000000000000002</v>
      </c>
      <c r="AL13" s="83" t="str">
        <f t="shared" si="2"/>
        <v/>
      </c>
      <c r="AM13" s="83">
        <f t="shared" si="3"/>
        <v>2.6</v>
      </c>
      <c r="AN13" s="83" t="str">
        <f t="shared" si="4"/>
        <v/>
      </c>
    </row>
    <row r="14" spans="1:44" ht="34">
      <c r="A14" s="8">
        <v>310403</v>
      </c>
      <c r="B14" s="8" t="s">
        <v>455</v>
      </c>
      <c r="C14" s="8" t="s">
        <v>485</v>
      </c>
      <c r="D14" s="34" t="s">
        <v>214</v>
      </c>
      <c r="E14" s="8"/>
      <c r="F14" s="8"/>
      <c r="G14" s="8"/>
      <c r="H14" s="8"/>
      <c r="I14" s="8"/>
      <c r="J14" s="8">
        <v>3</v>
      </c>
      <c r="K14" s="8">
        <v>4</v>
      </c>
      <c r="L14" s="8">
        <v>5</v>
      </c>
      <c r="M14" s="8">
        <v>6</v>
      </c>
      <c r="N14" s="8">
        <v>7</v>
      </c>
      <c r="O14" s="8"/>
      <c r="P14" s="8"/>
      <c r="Q14" s="8"/>
      <c r="R14" s="8"/>
      <c r="S14" s="8"/>
      <c r="T14" s="8"/>
      <c r="U14" s="8"/>
      <c r="V14" s="33">
        <v>0.1</v>
      </c>
      <c r="W14" s="30"/>
      <c r="X14" s="26">
        <v>314030</v>
      </c>
      <c r="Y14" s="8" t="s">
        <v>225</v>
      </c>
      <c r="Z14" s="9" t="s">
        <v>605</v>
      </c>
      <c r="AA14" s="32">
        <v>50</v>
      </c>
      <c r="AB14" s="32">
        <v>0</v>
      </c>
      <c r="AC14" s="32">
        <v>1</v>
      </c>
      <c r="AD14" s="32">
        <v>1</v>
      </c>
      <c r="AE14" s="32">
        <v>2</v>
      </c>
      <c r="AF14" s="32"/>
      <c r="AG14" s="32"/>
      <c r="AH14" s="32"/>
      <c r="AI14" s="85">
        <v>1.5</v>
      </c>
      <c r="AJ14" s="85"/>
      <c r="AK14" s="83">
        <f t="shared" si="1"/>
        <v>1.8</v>
      </c>
      <c r="AL14" s="83" t="str">
        <f t="shared" si="2"/>
        <v/>
      </c>
      <c r="AM14" s="83">
        <f t="shared" si="3"/>
        <v>2.2000000000000002</v>
      </c>
      <c r="AN14" s="83" t="str">
        <f t="shared" si="4"/>
        <v/>
      </c>
    </row>
    <row r="15" spans="1:44">
      <c r="A15" s="6">
        <v>310501</v>
      </c>
      <c r="B15" s="6" t="s">
        <v>457</v>
      </c>
      <c r="C15" s="6" t="s">
        <v>487</v>
      </c>
      <c r="D15" s="18" t="s">
        <v>213</v>
      </c>
      <c r="J15" s="6">
        <v>1</v>
      </c>
      <c r="K15" s="6">
        <v>2</v>
      </c>
      <c r="L15" s="6">
        <v>3</v>
      </c>
      <c r="M15" s="6">
        <v>4</v>
      </c>
      <c r="N15" s="6">
        <v>5</v>
      </c>
      <c r="X15" s="25">
        <v>315010</v>
      </c>
      <c r="Y15" s="6" t="s">
        <v>338</v>
      </c>
      <c r="Z15" s="56" t="s">
        <v>598</v>
      </c>
      <c r="AA15" s="16">
        <v>10</v>
      </c>
      <c r="AB15" s="6">
        <v>0</v>
      </c>
      <c r="AC15" s="6">
        <v>0</v>
      </c>
      <c r="AD15" s="6">
        <v>0</v>
      </c>
      <c r="AE15" s="6">
        <v>0</v>
      </c>
      <c r="AI15" s="23">
        <v>1.5</v>
      </c>
      <c r="AJ15" s="23"/>
      <c r="AK15" s="23">
        <f t="shared" si="1"/>
        <v>1.8</v>
      </c>
      <c r="AL15" s="23" t="str">
        <f t="shared" si="2"/>
        <v/>
      </c>
      <c r="AM15" s="23">
        <f t="shared" si="3"/>
        <v>2.2000000000000002</v>
      </c>
      <c r="AN15" s="23" t="str">
        <f t="shared" si="4"/>
        <v/>
      </c>
    </row>
    <row r="16" spans="1:44" ht="34">
      <c r="A16" s="6">
        <v>310502</v>
      </c>
      <c r="B16" s="6" t="s">
        <v>457</v>
      </c>
      <c r="C16" s="6" t="s">
        <v>488</v>
      </c>
      <c r="D16" s="18" t="s">
        <v>216</v>
      </c>
      <c r="J16" s="6">
        <v>2</v>
      </c>
      <c r="K16" s="6">
        <v>3</v>
      </c>
      <c r="L16" s="6">
        <v>4</v>
      </c>
      <c r="M16" s="6">
        <v>5</v>
      </c>
      <c r="N16" s="6">
        <v>6</v>
      </c>
      <c r="T16" s="36">
        <v>7.0000000000000007E-2</v>
      </c>
      <c r="V16" s="36">
        <v>7.0000000000000007E-2</v>
      </c>
      <c r="X16" s="25">
        <v>315020</v>
      </c>
      <c r="Y16" s="6" t="s">
        <v>340</v>
      </c>
      <c r="Z16" s="79" t="s">
        <v>606</v>
      </c>
      <c r="AA16" s="16">
        <v>30</v>
      </c>
      <c r="AB16" s="6">
        <v>0</v>
      </c>
      <c r="AC16" s="6">
        <v>1</v>
      </c>
      <c r="AD16" s="6">
        <v>0</v>
      </c>
      <c r="AE16" s="6">
        <v>0</v>
      </c>
      <c r="AI16" s="23">
        <v>1.8</v>
      </c>
      <c r="AJ16" s="23"/>
      <c r="AK16" s="23">
        <f t="shared" si="1"/>
        <v>2.2000000000000002</v>
      </c>
      <c r="AL16" s="23" t="str">
        <f t="shared" si="2"/>
        <v/>
      </c>
      <c r="AM16" s="23">
        <f t="shared" si="3"/>
        <v>2.6</v>
      </c>
      <c r="AN16" s="23" t="str">
        <f t="shared" si="4"/>
        <v/>
      </c>
    </row>
    <row r="17" spans="1:40">
      <c r="A17" s="6">
        <v>310503</v>
      </c>
      <c r="B17" s="6" t="s">
        <v>457</v>
      </c>
      <c r="C17" s="6" t="s">
        <v>489</v>
      </c>
      <c r="D17" s="18" t="s">
        <v>214</v>
      </c>
      <c r="J17" s="6">
        <v>3</v>
      </c>
      <c r="K17" s="6">
        <v>4</v>
      </c>
      <c r="L17" s="6">
        <v>5</v>
      </c>
      <c r="M17" s="6">
        <v>6</v>
      </c>
      <c r="N17" s="6">
        <v>7</v>
      </c>
      <c r="T17" s="22">
        <v>0.1</v>
      </c>
      <c r="X17" s="25">
        <v>315030</v>
      </c>
      <c r="Y17" s="6" t="s">
        <v>337</v>
      </c>
      <c r="Z17" s="56" t="s">
        <v>598</v>
      </c>
      <c r="AA17" s="16">
        <v>50</v>
      </c>
      <c r="AB17" s="6">
        <v>0</v>
      </c>
      <c r="AC17" s="6">
        <v>0</v>
      </c>
      <c r="AD17" s="6">
        <v>0</v>
      </c>
      <c r="AE17" s="6">
        <v>0</v>
      </c>
      <c r="AI17" s="23">
        <v>2.5</v>
      </c>
      <c r="AJ17" s="23"/>
      <c r="AK17" s="23">
        <f t="shared" si="1"/>
        <v>3</v>
      </c>
      <c r="AL17" s="23" t="str">
        <f t="shared" si="2"/>
        <v/>
      </c>
      <c r="AM17" s="23">
        <f t="shared" si="3"/>
        <v>3.6</v>
      </c>
      <c r="AN17" s="23" t="str">
        <f t="shared" si="4"/>
        <v/>
      </c>
    </row>
  </sheetData>
  <mergeCells count="1">
    <mergeCell ref="AP2:AR2"/>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AB2BB-5153-4042-B043-B1CF0992DABC}">
  <dimension ref="A1:N41"/>
  <sheetViews>
    <sheetView zoomScale="55" zoomScaleNormal="55" workbookViewId="0"/>
  </sheetViews>
  <sheetFormatPr defaultColWidth="8.58203125" defaultRowHeight="17"/>
  <cols>
    <col min="1" max="1" width="16" style="1" customWidth="1"/>
    <col min="2" max="2" width="33.08203125" style="1" bestFit="1" customWidth="1"/>
    <col min="3" max="3" width="16.5" style="1" bestFit="1" customWidth="1"/>
    <col min="4" max="4" width="32.9140625" style="1" bestFit="1" customWidth="1"/>
    <col min="5" max="8" width="25.58203125" style="1" customWidth="1"/>
    <col min="9" max="9" width="26.08203125" style="1" customWidth="1"/>
    <col min="10" max="16" width="25.58203125" style="1" customWidth="1"/>
    <col min="17" max="16384" width="8.58203125" style="1"/>
  </cols>
  <sheetData>
    <row r="1" spans="1:14">
      <c r="A1" s="14" t="s">
        <v>309</v>
      </c>
      <c r="B1" s="5" t="s">
        <v>310</v>
      </c>
    </row>
    <row r="2" spans="1:14">
      <c r="B2" s="46" t="s">
        <v>312</v>
      </c>
    </row>
    <row r="3" spans="1:14" ht="17.5" thickBot="1">
      <c r="B3" s="47" t="s">
        <v>311</v>
      </c>
    </row>
    <row r="4" spans="1:14" ht="18" thickTop="1" thickBot="1">
      <c r="B4" s="49" t="s">
        <v>313</v>
      </c>
    </row>
    <row r="5" spans="1:14" ht="36.5" thickTop="1">
      <c r="A5" s="12" t="s">
        <v>385</v>
      </c>
    </row>
    <row r="6" spans="1:14" ht="17.5" thickBot="1">
      <c r="B6" s="3" t="s">
        <v>231</v>
      </c>
      <c r="C6" s="4" t="s">
        <v>811</v>
      </c>
      <c r="D6" s="3" t="s">
        <v>810</v>
      </c>
      <c r="E6" s="3" t="s">
        <v>352</v>
      </c>
      <c r="F6" s="74" t="s">
        <v>375</v>
      </c>
      <c r="G6" s="74" t="s">
        <v>431</v>
      </c>
      <c r="H6" s="4" t="s">
        <v>371</v>
      </c>
      <c r="I6" s="4" t="s">
        <v>347</v>
      </c>
      <c r="J6" s="3" t="s">
        <v>348</v>
      </c>
      <c r="K6" s="4" t="s">
        <v>8</v>
      </c>
      <c r="L6" s="4" t="s">
        <v>7</v>
      </c>
      <c r="M6" s="4" t="s">
        <v>142</v>
      </c>
      <c r="N6" s="4" t="s">
        <v>4</v>
      </c>
    </row>
    <row r="7" spans="1:14" ht="18" thickTop="1" thickBot="1">
      <c r="B7" s="4">
        <v>1</v>
      </c>
      <c r="C7" s="39" t="str">
        <f>'전투 시뮬'!C14</f>
        <v>저스티스</v>
      </c>
      <c r="D7" s="45" t="str">
        <f>IFERROR(VLOOKUP(C7,'아군 유닛'!C6:N9,3,FALSE),"")</f>
        <v>평균적인 능력치를 지닌 근거리 히어로</v>
      </c>
      <c r="E7" s="39">
        <f>'전투 시뮬'!D14</f>
        <v>3</v>
      </c>
      <c r="F7" s="39" t="str">
        <f>IFERROR(VLOOKUP($E7,'성장 시스템'!#REF!,2,FALSE),"")</f>
        <v/>
      </c>
      <c r="G7" s="39">
        <f>IFERROR(VLOOKUP(E7,'범례(시뮬용)'!$L$15:$M$29,2,FALSE),"")</f>
        <v>140</v>
      </c>
      <c r="H7" s="38">
        <f>IFERROR(VLOOKUP($C$7,'아군 유닛'!$C$6:$N$9,COLUMN(A1)+3,FALSE),"")</f>
        <v>6</v>
      </c>
      <c r="I7" s="38">
        <f>IFERROR(VLOOKUP($C$7,'아군 유닛'!$C$6:$N$9,COLUMN(B1)+3,FALSE),"")</f>
        <v>9</v>
      </c>
      <c r="J7" s="38">
        <f>IFERROR(VLOOKUP($C$7,'아군 유닛'!$C$6:$N$9,COLUMN(C1)+3,FALSE),"")</f>
        <v>5</v>
      </c>
      <c r="K7" s="53">
        <f>IFERROR(VLOOKUP($C$7,'아군 유닛'!$C$6:$N$9,COLUMN(D1)+3,FALSE),"")</f>
        <v>0.15</v>
      </c>
      <c r="L7" s="53">
        <f>IFERROR(VLOOKUP($C$7,'아군 유닛'!$C$6:$N$9,COLUMN(E1)+3,FALSE),"")</f>
        <v>0.15</v>
      </c>
      <c r="M7" s="53">
        <f>IFERROR(VLOOKUP($C$7,'아군 유닛'!$C$6:$N$9,COLUMN(F1)+3,FALSE),"")</f>
        <v>0.15</v>
      </c>
      <c r="N7" s="38">
        <f>IFERROR(VLOOKUP($C$7,'아군 유닛'!$C$6:$N$9,COLUMN(G1)+3,FALSE),"")</f>
        <v>2</v>
      </c>
    </row>
    <row r="8" spans="1:14" ht="18" thickTop="1" thickBot="1">
      <c r="B8" s="4">
        <v>2</v>
      </c>
      <c r="C8" s="39" t="str">
        <f>'전투 시뮬'!C15</f>
        <v>루미나</v>
      </c>
      <c r="D8" s="45" t="str">
        <f>IFERROR(VLOOKUP(C8,'아군 유닛'!C7:N10,3,FALSE),"")</f>
        <v>다중 공격에 특화된 원거리 히어로</v>
      </c>
      <c r="E8" s="39">
        <f>'전투 시뮬'!D15</f>
        <v>3</v>
      </c>
      <c r="F8" s="39" t="str">
        <f>IFERROR(VLOOKUP($E8,'성장 시스템'!#REF!,2,FALSE),"")</f>
        <v/>
      </c>
      <c r="G8" s="39">
        <f>IFERROR(VLOOKUP(E8,'범례(시뮬용)'!$L$15:$M$29,2,FALSE),"")</f>
        <v>140</v>
      </c>
      <c r="H8" s="38">
        <f>IFERROR(VLOOKUP($C$8,'아군 유닛'!$C$6:$N$9,COLUMN(A2)+3,FALSE),"")</f>
        <v>4</v>
      </c>
      <c r="I8" s="38">
        <f>IFERROR(VLOOKUP($C$8,'아군 유닛'!$C$6:$N$9,COLUMN(B2)+3,FALSE),"")</f>
        <v>12</v>
      </c>
      <c r="J8" s="38">
        <f>IFERROR(VLOOKUP($C$8,'아군 유닛'!$C$6:$N$9,COLUMN(C2)+3,FALSE),"")</f>
        <v>4</v>
      </c>
      <c r="K8" s="53">
        <f>IFERROR(VLOOKUP($C$8,'아군 유닛'!$C$6:$N$9,COLUMN(D2)+3,FALSE),"")</f>
        <v>0.3</v>
      </c>
      <c r="L8" s="53">
        <f>IFERROR(VLOOKUP($C$8,'아군 유닛'!$C$6:$N$9,COLUMN(E2)+3,FALSE),"")</f>
        <v>0.1</v>
      </c>
      <c r="M8" s="53">
        <f>IFERROR(VLOOKUP($C$8,'아군 유닛'!$C$6:$N$9,COLUMN(F2)+3,FALSE),"")</f>
        <v>0.2</v>
      </c>
      <c r="N8" s="38">
        <f>IFERROR(VLOOKUP($C$8,'아군 유닛'!$C$6:$N$9,COLUMN(G2)+3,FALSE),"")</f>
        <v>3</v>
      </c>
    </row>
    <row r="9" spans="1:14" ht="18" thickTop="1" thickBot="1">
      <c r="B9" s="4">
        <v>3</v>
      </c>
      <c r="C9" s="39" t="str">
        <f>'전투 시뮬'!C16</f>
        <v>블랙 불릿</v>
      </c>
      <c r="D9" s="45" t="str">
        <f>IFERROR(VLOOKUP(C9,'아군 유닛'!C8:N11,3,FALSE),"")</f>
        <v>단일 공격에 특화된 원거리 히어로</v>
      </c>
      <c r="E9" s="39">
        <f>'전투 시뮬'!D16</f>
        <v>3</v>
      </c>
      <c r="F9" s="39" t="str">
        <f>IFERROR(VLOOKUP($E9,'성장 시스템'!#REF!,2,FALSE),"")</f>
        <v/>
      </c>
      <c r="G9" s="39">
        <f>IFERROR(VLOOKUP(E9,'범례(시뮬용)'!$L$15:$M$29,2,FALSE),"")</f>
        <v>140</v>
      </c>
      <c r="H9" s="38">
        <f>IFERROR(VLOOKUP($C$9,'아군 유닛'!$C$6:$N$9,COLUMN(A3)+3,FALSE),"")</f>
        <v>6</v>
      </c>
      <c r="I9" s="38">
        <f>IFERROR(VLOOKUP($C$9,'아군 유닛'!$C$6:$N$9,COLUMN(B3)+3,FALSE),"")</f>
        <v>12</v>
      </c>
      <c r="J9" s="38">
        <f>IFERROR(VLOOKUP($C$9,'아군 유닛'!$C$6:$N$9,COLUMN(C3)+3,FALSE),"")</f>
        <v>2</v>
      </c>
      <c r="K9" s="53">
        <f>IFERROR(VLOOKUP($C$9,'아군 유닛'!$C$6:$N$9,COLUMN(D3)+3,FALSE),"")</f>
        <v>0.2</v>
      </c>
      <c r="L9" s="53">
        <f>IFERROR(VLOOKUP($C$9,'아군 유닛'!$C$6:$N$9,COLUMN(E3)+3,FALSE),"")</f>
        <v>0.05</v>
      </c>
      <c r="M9" s="53">
        <f>IFERROR(VLOOKUP($C$9,'아군 유닛'!$C$6:$N$9,COLUMN(F3)+3,FALSE),"")</f>
        <v>0.1</v>
      </c>
      <c r="N9" s="38">
        <f>IFERROR(VLOOKUP($C$9,'아군 유닛'!$C$6:$N$9,COLUMN(G3)+3,FALSE),"")</f>
        <v>2</v>
      </c>
    </row>
    <row r="10" spans="1:14" ht="18" thickTop="1" thickBot="1">
      <c r="B10" s="4">
        <v>4</v>
      </c>
      <c r="C10" s="39" t="str">
        <f>'전투 시뮬'!C17</f>
        <v>네코밍</v>
      </c>
      <c r="D10" s="45" t="str">
        <f>IFERROR(VLOOKUP(C10,'아군 유닛'!C9:N12,3,FALSE),"")</f>
        <v>회복이 가능한 원거리 히어로</v>
      </c>
      <c r="E10" s="39">
        <f>'전투 시뮬'!D17</f>
        <v>2</v>
      </c>
      <c r="F10" s="39" t="str">
        <f>IFERROR(VLOOKUP($E10,'성장 시스템'!#REF!,2,FALSE),"")</f>
        <v/>
      </c>
      <c r="G10" s="39">
        <f>IFERROR(VLOOKUP(E10,'범례(시뮬용)'!$L$15:$M$29,2,FALSE),"")</f>
        <v>130</v>
      </c>
      <c r="H10" s="38">
        <f>IFERROR(VLOOKUP($C$10,'아군 유닛'!$C$6:$N$9,COLUMN(A4)+3,FALSE),"")</f>
        <v>6</v>
      </c>
      <c r="I10" s="38">
        <f>IFERROR(VLOOKUP($C$10,'아군 유닛'!$C$6:$N$9,COLUMN(B4)+3,FALSE),"")</f>
        <v>8</v>
      </c>
      <c r="J10" s="38">
        <f>IFERROR(VLOOKUP($C$10,'아군 유닛'!$C$6:$N$9,COLUMN(C4)+3,FALSE),"")</f>
        <v>6</v>
      </c>
      <c r="K10" s="53">
        <f>IFERROR(VLOOKUP($C$10,'아군 유닛'!$C$6:$N$9,COLUMN(D4)+3,FALSE),"")</f>
        <v>0.1</v>
      </c>
      <c r="L10" s="53">
        <f>IFERROR(VLOOKUP($C$10,'아군 유닛'!$C$6:$N$9,COLUMN(E4)+3,FALSE),"")</f>
        <v>0.1</v>
      </c>
      <c r="M10" s="53">
        <f>IFERROR(VLOOKUP($C$10,'아군 유닛'!$C$6:$N$9,COLUMN(F4)+3,FALSE),"")</f>
        <v>0.15</v>
      </c>
      <c r="N10" s="38">
        <f>IFERROR(VLOOKUP($C$10,'아군 유닛'!$C$6:$N$9,COLUMN(G4)+3,FALSE),"")</f>
        <v>2</v>
      </c>
    </row>
    <row r="11" spans="1:14" ht="17.5" thickTop="1"/>
    <row r="12" spans="1:14" ht="36">
      <c r="A12" s="12" t="s">
        <v>386</v>
      </c>
    </row>
    <row r="13" spans="1:14" ht="51.5" thickBot="1">
      <c r="B13" s="3" t="s">
        <v>231</v>
      </c>
      <c r="C13" s="115" t="s">
        <v>811</v>
      </c>
      <c r="D13" s="74" t="s">
        <v>73</v>
      </c>
      <c r="E13" s="74" t="s">
        <v>352</v>
      </c>
      <c r="F13" s="74" t="s">
        <v>375</v>
      </c>
      <c r="G13" s="74" t="s">
        <v>431</v>
      </c>
      <c r="H13" s="3" t="s">
        <v>803</v>
      </c>
      <c r="I13" s="3" t="s">
        <v>804</v>
      </c>
      <c r="J13" s="3" t="s">
        <v>805</v>
      </c>
    </row>
    <row r="14" spans="1:14" ht="18" thickTop="1" thickBot="1">
      <c r="B14" s="4">
        <v>1</v>
      </c>
      <c r="C14" s="39" t="str">
        <f>$C$7</f>
        <v>저스티스</v>
      </c>
      <c r="D14" s="77" t="str">
        <f>$D$7</f>
        <v>평균적인 능력치를 지닌 근거리 히어로</v>
      </c>
      <c r="E14" s="39">
        <f>E7</f>
        <v>3</v>
      </c>
      <c r="F14" s="39" t="str">
        <f>IFERROR(VLOOKUP($E14,'성장 시스템'!#REF!,2,FALSE),"")</f>
        <v/>
      </c>
      <c r="G14" s="38">
        <f>IFERROR(VLOOKUP(E14,'범례(시뮬용)'!$L$15:$M$29,2,FALSE),"")</f>
        <v>140</v>
      </c>
      <c r="H14" s="48">
        <f>H7+'아군 유닛'!O6*($E14-1)</f>
        <v>14</v>
      </c>
      <c r="I14" s="48">
        <f>I7+'아군 유닛'!P6*($E$14-1)</f>
        <v>17</v>
      </c>
      <c r="J14" s="48">
        <f>J7+'아군 유닛'!Q6*($E$14-1)</f>
        <v>9</v>
      </c>
    </row>
    <row r="15" spans="1:14" ht="18" thickTop="1" thickBot="1">
      <c r="B15" s="4">
        <v>2</v>
      </c>
      <c r="C15" s="39" t="str">
        <f>$C$8</f>
        <v>루미나</v>
      </c>
      <c r="D15" s="77" t="str">
        <f>$D$8</f>
        <v>다중 공격에 특화된 원거리 히어로</v>
      </c>
      <c r="E15" s="39">
        <f t="shared" ref="E15:E17" si="0">E8</f>
        <v>3</v>
      </c>
      <c r="F15" s="39" t="str">
        <f>IFERROR(VLOOKUP($E15,'성장 시스템'!#REF!,2,FALSE),"")</f>
        <v/>
      </c>
      <c r="G15" s="38">
        <f>IFERROR(VLOOKUP(E15,'범례(시뮬용)'!$L$15:$M$29,2,FALSE),"")</f>
        <v>140</v>
      </c>
      <c r="H15" s="48">
        <f>H$8+'아군 유닛'!O7*($E$15-1)</f>
        <v>12</v>
      </c>
      <c r="I15" s="48">
        <f>I$8+'아군 유닛'!P7*($E$15-1)</f>
        <v>20</v>
      </c>
      <c r="J15" s="48">
        <f>J$8+'아군 유닛'!Q7*($E$15-1)</f>
        <v>8</v>
      </c>
    </row>
    <row r="16" spans="1:14" ht="18" thickTop="1" thickBot="1">
      <c r="B16" s="4">
        <v>3</v>
      </c>
      <c r="C16" s="39" t="str">
        <f>$C$9</f>
        <v>블랙 불릿</v>
      </c>
      <c r="D16" s="77" t="str">
        <f>$D$9</f>
        <v>단일 공격에 특화된 원거리 히어로</v>
      </c>
      <c r="E16" s="39">
        <f t="shared" si="0"/>
        <v>3</v>
      </c>
      <c r="F16" s="39" t="str">
        <f>IFERROR(VLOOKUP($E16,'성장 시스템'!#REF!,2,FALSE),"")</f>
        <v/>
      </c>
      <c r="G16" s="38">
        <f>IFERROR(VLOOKUP(E16,'범례(시뮬용)'!$L$15:$M$29,2,FALSE),"")</f>
        <v>140</v>
      </c>
      <c r="H16" s="48">
        <f>H$9+'아군 유닛'!O8*($E$16-1)</f>
        <v>10</v>
      </c>
      <c r="I16" s="48">
        <f>I$9+'아군 유닛'!P8*($E$16-1)</f>
        <v>24</v>
      </c>
      <c r="J16" s="48">
        <f>J$9+'아군 유닛'!Q8*($E$16-1)</f>
        <v>6</v>
      </c>
    </row>
    <row r="17" spans="1:13" ht="18" thickTop="1" thickBot="1">
      <c r="B17" s="4">
        <v>4</v>
      </c>
      <c r="C17" s="39" t="str">
        <f>$C$10</f>
        <v>네코밍</v>
      </c>
      <c r="D17" s="77" t="str">
        <f>$D$10</f>
        <v>회복이 가능한 원거리 히어로</v>
      </c>
      <c r="E17" s="39">
        <f t="shared" si="0"/>
        <v>2</v>
      </c>
      <c r="F17" s="39" t="str">
        <f>IFERROR(VLOOKUP($E17,'성장 시스템'!#REF!,2,FALSE),"")</f>
        <v/>
      </c>
      <c r="G17" s="38">
        <f>IFERROR(VLOOKUP(E17,'범례(시뮬용)'!$L$15:$M$29,2,FALSE),"")</f>
        <v>130</v>
      </c>
      <c r="H17" s="48">
        <f>H$10+'아군 유닛'!O9*($E$17-1)</f>
        <v>11</v>
      </c>
      <c r="I17" s="48">
        <f>I$10+'아군 유닛'!P9*($E$17-1)</f>
        <v>12</v>
      </c>
      <c r="J17" s="48">
        <f>J$10+'아군 유닛'!Q9*($E$17-1)</f>
        <v>7</v>
      </c>
    </row>
    <row r="18" spans="1:13" ht="17.5" thickTop="1"/>
    <row r="19" spans="1:13" ht="36">
      <c r="A19" s="12" t="s">
        <v>387</v>
      </c>
    </row>
    <row r="20" spans="1:13" ht="36">
      <c r="B20" s="12"/>
      <c r="C20" s="12"/>
      <c r="G20" s="152" t="s">
        <v>248</v>
      </c>
      <c r="H20" s="153"/>
      <c r="I20" s="153"/>
      <c r="J20" s="153"/>
      <c r="K20" s="153"/>
      <c r="L20" s="153"/>
      <c r="M20" s="154"/>
    </row>
    <row r="21" spans="1:13" ht="33" customHeight="1" thickBot="1">
      <c r="B21" s="3" t="s">
        <v>231</v>
      </c>
      <c r="C21" s="115" t="s">
        <v>811</v>
      </c>
      <c r="D21" s="3" t="s">
        <v>229</v>
      </c>
      <c r="E21" s="112" t="s">
        <v>777</v>
      </c>
      <c r="F21" s="112" t="s">
        <v>776</v>
      </c>
      <c r="G21" s="4" t="s">
        <v>128</v>
      </c>
      <c r="H21" s="4" t="s">
        <v>129</v>
      </c>
      <c r="I21" s="4" t="s">
        <v>130</v>
      </c>
      <c r="J21" s="4" t="s">
        <v>131</v>
      </c>
      <c r="K21" s="4" t="s">
        <v>132</v>
      </c>
      <c r="L21" s="4" t="s">
        <v>133</v>
      </c>
      <c r="M21" s="4" t="s">
        <v>134</v>
      </c>
    </row>
    <row r="22" spans="1:13" ht="18" thickTop="1" thickBot="1">
      <c r="B22" s="4">
        <v>1</v>
      </c>
      <c r="C22" s="39" t="str">
        <f>$C$7</f>
        <v>저스티스</v>
      </c>
      <c r="D22" s="41" t="s">
        <v>784</v>
      </c>
      <c r="E22" s="38" t="str">
        <f>IFERROR(INDEX('무기(기획용)'!$D$3:$D$17,MATCH(D22,'무기(기획용)'!$C$3:$C$17,0)),"")</f>
        <v>기본 제공 무기</v>
      </c>
      <c r="F22" s="110">
        <v>1</v>
      </c>
      <c r="G22" s="52">
        <f>IFERROR(INDEX('무기(기획용)'!$E$3:$I$17,MATCH($D22,'무기(기획용)'!$C$3:$C$17,0),F22),"")</f>
        <v>0</v>
      </c>
      <c r="H22" s="52">
        <f>IFERROR(INDEX('무기(기획용)'!$J$3:$N$17,MATCH($D22,'무기(기획용)'!$C$3:$C$17,0),$F22),"")</f>
        <v>1</v>
      </c>
      <c r="I22" s="52">
        <f>IFERROR(INDEX('무기(기획용)'!$O$3:$S$17,MATCH($D22,'무기(기획용)'!$C$3:$C$17,0),F22),"")</f>
        <v>0</v>
      </c>
      <c r="J22" s="53">
        <f>IFERROR(INDEX('무기(기획용)'!T$3:T$17,MATCH($D22,'무기(기획용)'!$C$3:$C$17,0)),"")</f>
        <v>0</v>
      </c>
      <c r="K22" s="53">
        <f>IFERROR(INDEX('무기(기획용)'!U$3:U$17,MATCH($D$22,'무기(기획용)'!$C$3:$C$17,0)),"")</f>
        <v>0</v>
      </c>
      <c r="L22" s="53">
        <f>IFERROR(INDEX('무기(기획용)'!V$3:V$17,MATCH($D$22,'무기(기획용)'!$C$3:$C$17,0)),"")</f>
        <v>0</v>
      </c>
      <c r="M22" s="117">
        <f>IFERROR(INDEX('무기(기획용)'!W$3:W$17,MATCH($D22,'무기(기획용)'!$C$3:$C$17,0)),"")</f>
        <v>0</v>
      </c>
    </row>
    <row r="23" spans="1:13" ht="18" thickTop="1" thickBot="1">
      <c r="B23" s="4">
        <v>2</v>
      </c>
      <c r="C23" s="39" t="str">
        <f>$C$8</f>
        <v>루미나</v>
      </c>
      <c r="D23" s="42" t="s">
        <v>477</v>
      </c>
      <c r="E23" s="38" t="str">
        <f>IFERROR(INDEX('무기(기획용)'!$D$3:$D$17,MATCH(D23,'무기(기획용)'!$C$3:$C$17,0)),"")</f>
        <v>기본 제공 무기</v>
      </c>
      <c r="F23" s="111">
        <v>1</v>
      </c>
      <c r="G23" s="52">
        <f>IFERROR(INDEX('무기(기획용)'!$E$3:$I$17,MATCH($D23,'무기(기획용)'!$C$3:$C$17,0),F23),"")</f>
        <v>0</v>
      </c>
      <c r="H23" s="52">
        <f>IFERROR(INDEX('무기(기획용)'!$J$3:$N$17,MATCH($D23,'무기(기획용)'!$C$3:$C$17,0),$F23),"")</f>
        <v>1</v>
      </c>
      <c r="I23" s="52">
        <f>IFERROR(INDEX('무기(기획용)'!$O$3:$S$17,MATCH($D23,'무기(기획용)'!$C$3:$C$17,0),F23),"")</f>
        <v>0</v>
      </c>
      <c r="J23" s="53">
        <f>IFERROR(INDEX('무기(기획용)'!T$3:T$17,MATCH($D$23,'무기(기획용)'!$C$3:$C$17,0)),"")</f>
        <v>0</v>
      </c>
      <c r="K23" s="53">
        <f>IFERROR(INDEX('무기(기획용)'!U$3:U$17,MATCH($D$23,'무기(기획용)'!$C$3:$C$17,0)),"")</f>
        <v>0</v>
      </c>
      <c r="L23" s="53">
        <f>IFERROR(INDEX('무기(기획용)'!V$3:V$17,MATCH($D$23,'무기(기획용)'!$C$3:$C$17,0)),"")</f>
        <v>0</v>
      </c>
      <c r="M23" s="117">
        <f>IFERROR(INDEX('무기(기획용)'!W$3:W$17,MATCH($D$23,'무기(기획용)'!$C$3:$C$17,0)),"")</f>
        <v>0</v>
      </c>
    </row>
    <row r="24" spans="1:13" ht="18" thickTop="1" thickBot="1">
      <c r="B24" s="4">
        <v>3</v>
      </c>
      <c r="C24" s="39" t="str">
        <f>$C$9</f>
        <v>블랙 불릿</v>
      </c>
      <c r="D24" s="42" t="s">
        <v>480</v>
      </c>
      <c r="E24" s="38" t="str">
        <f>IFERROR(INDEX('무기(기획용)'!$D$3:$D$17,MATCH(D24,'무기(기획용)'!$C$3:$C$17,0)),"")</f>
        <v>기본 제공 무기</v>
      </c>
      <c r="F24" s="111">
        <v>1</v>
      </c>
      <c r="G24" s="52">
        <f>IFERROR(INDEX('무기(기획용)'!$E$3:$I$17,MATCH($D24,'무기(기획용)'!$C$3:$C$17,0),F24),"")</f>
        <v>0</v>
      </c>
      <c r="H24" s="52">
        <f>IFERROR(INDEX('무기(기획용)'!$J$3:$N$17,MATCH($D24,'무기(기획용)'!$C$3:$C$17,0),$F24),"")</f>
        <v>1</v>
      </c>
      <c r="I24" s="52">
        <f>IFERROR(INDEX('무기(기획용)'!$O$3:$S$17,MATCH($D24,'무기(기획용)'!$C$3:$C$17,0),F24),"")</f>
        <v>0</v>
      </c>
      <c r="J24" s="53">
        <f>IFERROR(INDEX('무기(기획용)'!T$3:T$17,MATCH($D$24,'무기(기획용)'!$C$3:$C$17,0)),"")</f>
        <v>0</v>
      </c>
      <c r="K24" s="53">
        <f>IFERROR(INDEX('무기(기획용)'!U$3:U$17,MATCH($D$24,'무기(기획용)'!$C$3:$C$17,0)),"")</f>
        <v>0</v>
      </c>
      <c r="L24" s="53">
        <f>IFERROR(INDEX('무기(기획용)'!V$3:V$17,MATCH($D$24,'무기(기획용)'!$C$3:$C$17,0)),"")</f>
        <v>0</v>
      </c>
      <c r="M24" s="117">
        <f>IFERROR(INDEX('무기(기획용)'!W$3:W$17,MATCH($D$24,'무기(기획용)'!$C$3:$C$17,0)),"")</f>
        <v>0</v>
      </c>
    </row>
    <row r="25" spans="1:13" ht="18" thickTop="1" thickBot="1">
      <c r="B25" s="4">
        <v>4</v>
      </c>
      <c r="C25" s="39" t="str">
        <f>$C$10</f>
        <v>네코밍</v>
      </c>
      <c r="D25" s="42" t="s">
        <v>483</v>
      </c>
      <c r="E25" s="38" t="str">
        <f>IFERROR(INDEX('무기(기획용)'!$D$3:$D$17,MATCH(D25,'무기(기획용)'!$C$3:$C$17,0)),"")</f>
        <v>기본 제공 무기</v>
      </c>
      <c r="F25" s="111">
        <v>1</v>
      </c>
      <c r="G25" s="52">
        <f>IFERROR(INDEX('무기(기획용)'!$E$3:$I$17,MATCH($D25,'무기(기획용)'!$C$3:$C$17,0),F25),"")</f>
        <v>0</v>
      </c>
      <c r="H25" s="52">
        <f>IFERROR(INDEX('무기(기획용)'!$J$3:$N$17,MATCH($D25,'무기(기획용)'!$C$3:$C$17,0),$F25),"")</f>
        <v>1</v>
      </c>
      <c r="I25" s="52">
        <f>IFERROR(INDEX('무기(기획용)'!$O$3:$S$17,MATCH($D25,'무기(기획용)'!$C$3:$C$17,0),F25),"")</f>
        <v>0</v>
      </c>
      <c r="J25" s="53">
        <f>IFERROR(INDEX('무기(기획용)'!T$3:T$17,MATCH($D$25,'무기(기획용)'!$C$3:$C$17,0)),"")</f>
        <v>0</v>
      </c>
      <c r="K25" s="53">
        <f>IFERROR(INDEX('무기(기획용)'!U$3:U$17,MATCH($D$25,'무기(기획용)'!$C$3:$C$17,0)),"")</f>
        <v>0</v>
      </c>
      <c r="L25" s="53">
        <f>IFERROR(INDEX('무기(기획용)'!V$3:V$17,MATCH($D$25,'무기(기획용)'!$C$3:$C$17,0)),"")</f>
        <v>0</v>
      </c>
      <c r="M25" s="117">
        <f>IFERROR(INDEX('무기(기획용)'!W$3:W$17,MATCH($D$25,'무기(기획용)'!$C$3:$C$17,0)),"")</f>
        <v>0</v>
      </c>
    </row>
    <row r="26" spans="1:13" ht="17.5" thickTop="1"/>
    <row r="27" spans="1:13" ht="36">
      <c r="A27" s="12" t="s">
        <v>388</v>
      </c>
    </row>
    <row r="28" spans="1:13" ht="17.5" thickBot="1">
      <c r="B28" s="3" t="s">
        <v>231</v>
      </c>
      <c r="C28" s="115" t="s">
        <v>811</v>
      </c>
      <c r="D28" s="3" t="s">
        <v>389</v>
      </c>
      <c r="E28" s="3" t="s">
        <v>245</v>
      </c>
      <c r="F28" s="3" t="s">
        <v>246</v>
      </c>
      <c r="G28" s="3" t="s">
        <v>229</v>
      </c>
      <c r="H28" s="3" t="s">
        <v>230</v>
      </c>
      <c r="I28" s="3" t="s">
        <v>247</v>
      </c>
    </row>
    <row r="29" spans="1:13" ht="86" thickTop="1" thickBot="1">
      <c r="B29" s="4">
        <v>1</v>
      </c>
      <c r="C29" s="39" t="str">
        <f>$C$7</f>
        <v>저스티스</v>
      </c>
      <c r="D29" s="39">
        <f>$E$14</f>
        <v>3</v>
      </c>
      <c r="E29" s="42" t="s">
        <v>9</v>
      </c>
      <c r="F29" s="50" t="str">
        <f>IFERROR(VLOOKUP($E29,'직업 스킬(기획용)'!$D$3:$E$30,2,FALSE),"")</f>
        <v>적 1명에게 {ClassSkillValue} 대미지를 입히고, 1턴 동안 해당 대상이 단일 공격 시 자신을 공격하게 한다. (적 전열이 있을 경우, 전열 우선 공격)</v>
      </c>
      <c r="G29" s="39" t="str">
        <f>$D$22</f>
        <v>하급 투쟁의 코어</v>
      </c>
      <c r="H29" s="38" t="str">
        <f>IFERROR(INDEX('무기(기획용)'!Y$3:Y$17,MATCH($G29,'무기(기획용)'!$C$3:$C$17,0)),"")</f>
        <v>베어가르기</v>
      </c>
      <c r="I29" s="50" t="str">
        <f>IFERROR(INDEX('무기(기획용)'!Z$3:Z$17,MATCH($H29,'무기(기획용)'!$Y$3:$Y$17,0)),"")</f>
        <v>적 유닛 1명에게 {WeaponSkillValue} 대미지를 준다. (전열 우선)</v>
      </c>
    </row>
    <row r="30" spans="1:13" ht="52" thickTop="1" thickBot="1">
      <c r="B30" s="4">
        <v>2</v>
      </c>
      <c r="C30" s="39" t="str">
        <f>$C$8</f>
        <v>루미나</v>
      </c>
      <c r="D30" s="39">
        <f>$E$15</f>
        <v>3</v>
      </c>
      <c r="E30" s="42" t="s">
        <v>390</v>
      </c>
      <c r="F30" s="50" t="str">
        <f>IFERROR(VLOOKUP($E30,'직업 스킬(기획용)'!$D$3:$E$30,2,FALSE),"")</f>
        <v>적 1명에게 {ClassSkillValue} 대미지를 입힌다.</v>
      </c>
      <c r="G30" s="39" t="str">
        <f>$D$23</f>
        <v>하급 폭주의 코어</v>
      </c>
      <c r="H30" s="38" t="str">
        <f>IFERROR(INDEX('무기(기획용)'!Y$3:Y$17,MATCH($G30,'무기(기획용)'!$C$3:$C$17,0)),"")</f>
        <v>매직 미사일</v>
      </c>
      <c r="I30" s="50" t="str">
        <f>IFERROR(INDEX('무기(기획용)'!Z$3:Z$17,MATCH($H30,'무기(기획용)'!$Y$3:$Y$17,0)),"")</f>
        <v xml:space="preserve">적 유닛 1명에게 {WeaponSkillValue} 대미지를 준다. </v>
      </c>
    </row>
    <row r="31" spans="1:13" ht="52" thickTop="1" thickBot="1">
      <c r="B31" s="4">
        <v>3</v>
      </c>
      <c r="C31" s="39" t="str">
        <f>$C$9</f>
        <v>블랙 불릿</v>
      </c>
      <c r="D31" s="39">
        <f>$E$16</f>
        <v>3</v>
      </c>
      <c r="E31" s="42" t="s">
        <v>241</v>
      </c>
      <c r="F31" s="50" t="str">
        <f>IFERROR(VLOOKUP($E31,'직업 스킬(기획용)'!$D$3:$E$30,2,FALSE),"")</f>
        <v>적 1명에게 {ClassSkillValue} 대미지를 입힌다.</v>
      </c>
      <c r="G31" s="39" t="str">
        <f>$D$24</f>
        <v>하급 정밀의 코어</v>
      </c>
      <c r="H31" s="38" t="str">
        <f>IFERROR(INDEX('무기(기획용)'!Y$3:Y$17,MATCH($G31,'무기(기획용)'!$C$3:$C$17,0)),"")</f>
        <v>정밀 조준</v>
      </c>
      <c r="I31" s="50" t="str">
        <f>IFERROR(INDEX('무기(기획용)'!Z$3:Z$17,MATCH($H31,'무기(기획용)'!$Y$3:$Y$17,0)),"")</f>
        <v xml:space="preserve">적 유닛 1명에게 {WeaponSkillValue} 대미지를 준다. </v>
      </c>
    </row>
    <row r="32" spans="1:13" ht="52" thickTop="1" thickBot="1">
      <c r="B32" s="4">
        <v>4</v>
      </c>
      <c r="C32" s="39" t="str">
        <f>$C$10</f>
        <v>네코밍</v>
      </c>
      <c r="D32" s="39">
        <f>$E$17</f>
        <v>2</v>
      </c>
      <c r="E32" s="42" t="s">
        <v>376</v>
      </c>
      <c r="F32" s="50" t="str">
        <f>IFERROR(VLOOKUP($E32,'직업 스킬(기획용)'!$D$3:$E$30,2,FALSE),"")</f>
        <v>아군 1명 체력 30% 회복, IP 10 고정 회복</v>
      </c>
      <c r="G32" s="39" t="str">
        <f>$D$25</f>
        <v>하급 회복의 코어</v>
      </c>
      <c r="H32" s="38" t="str">
        <f>IFERROR(INDEX('무기(기획용)'!Y$3:Y$17,MATCH($G32,'무기(기획용)'!$C$3:$C$17,0)),"")</f>
        <v>성광</v>
      </c>
      <c r="I32" s="50" t="str">
        <f>IFERROR(INDEX('무기(기획용)'!Z$3:Z$17,MATCH($H32,'무기(기획용)'!$Y$3:$Y$17,0)),"")</f>
        <v>적 유닛 1명에게 {WeaponSkillValue} 대미지를 준다.</v>
      </c>
    </row>
    <row r="33" spans="1:14" ht="17.5" thickTop="1"/>
    <row r="34" spans="1:14" ht="36">
      <c r="A34" s="12" t="s">
        <v>315</v>
      </c>
    </row>
    <row r="35" spans="1:14">
      <c r="E35" s="152" t="s">
        <v>314</v>
      </c>
      <c r="F35" s="153"/>
      <c r="G35" s="153"/>
      <c r="H35" s="153"/>
      <c r="I35" s="153"/>
      <c r="J35" s="153"/>
      <c r="K35" s="154"/>
    </row>
    <row r="36" spans="1:14" ht="17.5" thickBot="1">
      <c r="B36" s="3" t="s">
        <v>231</v>
      </c>
      <c r="C36" s="115" t="s">
        <v>811</v>
      </c>
      <c r="D36" s="3" t="s">
        <v>389</v>
      </c>
      <c r="E36" s="3" t="s">
        <v>66</v>
      </c>
      <c r="F36" s="3" t="s">
        <v>0</v>
      </c>
      <c r="G36" s="3" t="s">
        <v>316</v>
      </c>
      <c r="H36" s="4" t="s">
        <v>8</v>
      </c>
      <c r="I36" s="4" t="s">
        <v>7</v>
      </c>
      <c r="J36" s="4" t="s">
        <v>142</v>
      </c>
      <c r="K36" s="4" t="s">
        <v>4</v>
      </c>
      <c r="L36" s="3" t="s">
        <v>245</v>
      </c>
      <c r="M36" s="3" t="s">
        <v>229</v>
      </c>
      <c r="N36" s="3" t="s">
        <v>230</v>
      </c>
    </row>
    <row r="37" spans="1:14" ht="18" thickTop="1" thickBot="1">
      <c r="B37" s="4">
        <v>1</v>
      </c>
      <c r="C37" s="39" t="str">
        <f>$C$7</f>
        <v>저스티스</v>
      </c>
      <c r="D37" s="39">
        <f>$E$14</f>
        <v>3</v>
      </c>
      <c r="E37" s="54">
        <f t="shared" ref="E37:G40" si="1">SUM(H14,G22)</f>
        <v>14</v>
      </c>
      <c r="F37" s="54">
        <f t="shared" si="1"/>
        <v>18</v>
      </c>
      <c r="G37" s="54">
        <f t="shared" si="1"/>
        <v>9</v>
      </c>
      <c r="H37" s="51">
        <f t="shared" ref="H37:J40" si="2">MIN(SUM(K7,J22),70%)</f>
        <v>0.15</v>
      </c>
      <c r="I37" s="51">
        <f t="shared" si="2"/>
        <v>0.15</v>
      </c>
      <c r="J37" s="51">
        <f t="shared" si="2"/>
        <v>0.15</v>
      </c>
      <c r="K37" s="54">
        <f>SUM(N7,M22)</f>
        <v>2</v>
      </c>
      <c r="L37" s="39" t="str">
        <f>$E$29</f>
        <v>도발 베기</v>
      </c>
      <c r="M37" s="39" t="str">
        <f>$D$22</f>
        <v>하급 투쟁의 코어</v>
      </c>
      <c r="N37" s="39" t="str">
        <f>$H$29</f>
        <v>베어가르기</v>
      </c>
    </row>
    <row r="38" spans="1:14" ht="18" thickTop="1" thickBot="1">
      <c r="B38" s="4">
        <v>2</v>
      </c>
      <c r="C38" s="39" t="str">
        <f>$C$8</f>
        <v>루미나</v>
      </c>
      <c r="D38" s="39">
        <f>$E$15</f>
        <v>3</v>
      </c>
      <c r="E38" s="54">
        <f t="shared" si="1"/>
        <v>12</v>
      </c>
      <c r="F38" s="54">
        <f t="shared" si="1"/>
        <v>21</v>
      </c>
      <c r="G38" s="54">
        <f t="shared" si="1"/>
        <v>8</v>
      </c>
      <c r="H38" s="51">
        <f t="shared" si="2"/>
        <v>0.3</v>
      </c>
      <c r="I38" s="51">
        <f t="shared" si="2"/>
        <v>0.1</v>
      </c>
      <c r="J38" s="51">
        <f t="shared" si="2"/>
        <v>0.2</v>
      </c>
      <c r="K38" s="54">
        <f>SUM(N8,M23)</f>
        <v>3</v>
      </c>
      <c r="L38" s="39" t="str">
        <f>$E$30</f>
        <v>파이어볼</v>
      </c>
      <c r="M38" s="39" t="str">
        <f>$D$23</f>
        <v>하급 폭주의 코어</v>
      </c>
      <c r="N38" s="39" t="str">
        <f>$H$30</f>
        <v>매직 미사일</v>
      </c>
    </row>
    <row r="39" spans="1:14" ht="18" thickTop="1" thickBot="1">
      <c r="B39" s="4">
        <v>3</v>
      </c>
      <c r="C39" s="39" t="str">
        <f>$C$9</f>
        <v>블랙 불릿</v>
      </c>
      <c r="D39" s="39">
        <f>$E$16</f>
        <v>3</v>
      </c>
      <c r="E39" s="54">
        <f t="shared" si="1"/>
        <v>10</v>
      </c>
      <c r="F39" s="54">
        <f t="shared" si="1"/>
        <v>25</v>
      </c>
      <c r="G39" s="54">
        <f t="shared" si="1"/>
        <v>6</v>
      </c>
      <c r="H39" s="51">
        <f t="shared" si="2"/>
        <v>0.2</v>
      </c>
      <c r="I39" s="51">
        <f t="shared" si="2"/>
        <v>0.05</v>
      </c>
      <c r="J39" s="51">
        <f t="shared" si="2"/>
        <v>0.1</v>
      </c>
      <c r="K39" s="54">
        <f>SUM(N9,M24)</f>
        <v>2</v>
      </c>
      <c r="L39" s="39" t="str">
        <f>$E$31</f>
        <v>정밀 사격</v>
      </c>
      <c r="M39" s="39" t="str">
        <f>$D$24</f>
        <v>하급 정밀의 코어</v>
      </c>
      <c r="N39" s="39" t="str">
        <f>$H$31</f>
        <v>정밀 조준</v>
      </c>
    </row>
    <row r="40" spans="1:14" ht="18" thickTop="1" thickBot="1">
      <c r="B40" s="4">
        <v>4</v>
      </c>
      <c r="C40" s="39" t="str">
        <f>$C$10</f>
        <v>네코밍</v>
      </c>
      <c r="D40" s="39">
        <f>$E$17</f>
        <v>2</v>
      </c>
      <c r="E40" s="54">
        <f t="shared" si="1"/>
        <v>11</v>
      </c>
      <c r="F40" s="54">
        <f t="shared" si="1"/>
        <v>13</v>
      </c>
      <c r="G40" s="54">
        <f t="shared" si="1"/>
        <v>7</v>
      </c>
      <c r="H40" s="51">
        <f t="shared" si="2"/>
        <v>0.1</v>
      </c>
      <c r="I40" s="51">
        <f t="shared" si="2"/>
        <v>0.1</v>
      </c>
      <c r="J40" s="51">
        <f t="shared" si="2"/>
        <v>0.15</v>
      </c>
      <c r="K40" s="54">
        <f>SUM(N10,M25)</f>
        <v>2</v>
      </c>
      <c r="L40" s="39" t="str">
        <f>$E$32</f>
        <v>힐</v>
      </c>
      <c r="M40" s="39" t="str">
        <f>$D$25</f>
        <v>하급 회복의 코어</v>
      </c>
      <c r="N40" s="39" t="str">
        <f>$H$32</f>
        <v>성광</v>
      </c>
    </row>
    <row r="41" spans="1:14" ht="17.5" thickTop="1"/>
  </sheetData>
  <mergeCells count="2">
    <mergeCell ref="E35:K35"/>
    <mergeCell ref="G20:M20"/>
  </mergeCells>
  <phoneticPr fontId="4" type="noConversion"/>
  <dataValidations count="1">
    <dataValidation type="list" allowBlank="1" showInputMessage="1" showErrorMessage="1" sqref="F22:F25" xr:uid="{103E5D82-A122-4295-B6A6-54320F920B1C}">
      <formula1>"1,2,3,4,5"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4ADB0310-DC0E-464C-AFAD-2A31B1AB12BF}">
          <x14:formula1>
            <xm:f>'범례(시뮬용)'!$C$5:$I$5</xm:f>
          </x14:formula1>
          <xm:sqref>E32</xm:sqref>
        </x14:dataValidation>
        <x14:dataValidation type="list" allowBlank="1" showInputMessage="1" showErrorMessage="1" xr:uid="{A9430A4D-3F3B-41EA-B0E0-8FC4EA25F218}">
          <x14:formula1>
            <xm:f>'범례(시뮬용)'!$C$4:$I$4</xm:f>
          </x14:formula1>
          <xm:sqref>E31</xm:sqref>
        </x14:dataValidation>
        <x14:dataValidation type="list" allowBlank="1" showInputMessage="1" showErrorMessage="1" xr:uid="{4E0FA307-0898-42CA-9447-FE60A1FB34B7}">
          <x14:formula1>
            <xm:f>'범례(시뮬용)'!$C$3:$I$3</xm:f>
          </x14:formula1>
          <xm:sqref>E30</xm:sqref>
        </x14:dataValidation>
        <x14:dataValidation type="list" allowBlank="1" showInputMessage="1" showErrorMessage="1" xr:uid="{C479DDC4-8243-47B1-9056-E06AECB12E96}">
          <x14:formula1>
            <xm:f>'범례(시뮬용)'!$C$2:$I$2</xm:f>
          </x14:formula1>
          <xm:sqref>E29</xm:sqref>
        </x14:dataValidation>
        <x14:dataValidation type="list" allowBlank="1" showInputMessage="1" showErrorMessage="1" xr:uid="{95FE9E6C-E6A3-4F6E-B6F8-C7B61F1210AD}">
          <x14:formula1>
            <xm:f>INDEX('범례(시뮬용)'!$M$8:$O$12,MATCH($C$22,'범례(시뮬용)'!$L$8:$L$12,0),0)</xm:f>
          </x14:formula1>
          <xm:sqref>D22</xm:sqref>
        </x14:dataValidation>
        <x14:dataValidation type="list" allowBlank="1" showInputMessage="1" showErrorMessage="1" xr:uid="{A14FE098-1CB9-4AC7-8B94-296A09168B81}">
          <x14:formula1>
            <xm:f>INDEX('범례(시뮬용)'!$M$8:$O$12,MATCH($C$23,'범례(시뮬용)'!$L$8:$L$12,0),0)</xm:f>
          </x14:formula1>
          <xm:sqref>D23</xm:sqref>
        </x14:dataValidation>
        <x14:dataValidation type="list" allowBlank="1" showInputMessage="1" showErrorMessage="1" xr:uid="{BCEBB9FD-02DB-4EC1-8046-5D0D49D8F57A}">
          <x14:formula1>
            <xm:f>INDEX('범례(시뮬용)'!$M$8:$O$12,MATCH($C$24,'범례(시뮬용)'!$L$8:$L$12,0),0)</xm:f>
          </x14:formula1>
          <xm:sqref>D24</xm:sqref>
        </x14:dataValidation>
        <x14:dataValidation type="list" allowBlank="1" showInputMessage="1" showErrorMessage="1" xr:uid="{BA3D4CD6-4BA5-4A58-91D3-75BEB6A163B5}">
          <x14:formula1>
            <xm:f>INDEX('범례(시뮬용)'!$M$8:$O$12,MATCH($C$25,'범례(시뮬용)'!$L$8:$L$12,0),0)</xm:f>
          </x14:formula1>
          <xm:sqref>D25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E019-5C34-4D8E-8908-3BB36F3EC416}">
  <dimension ref="A1:O83"/>
  <sheetViews>
    <sheetView workbookViewId="0"/>
  </sheetViews>
  <sheetFormatPr defaultColWidth="8.58203125" defaultRowHeight="17"/>
  <cols>
    <col min="1" max="1" width="11.08203125" style="14" bestFit="1" customWidth="1"/>
    <col min="2" max="2" width="9.08203125" style="14" bestFit="1" customWidth="1"/>
    <col min="3" max="9" width="14.83203125" style="14" bestFit="1" customWidth="1"/>
    <col min="10" max="11" width="8.58203125" style="14"/>
    <col min="12" max="12" width="11.08203125" style="14" bestFit="1" customWidth="1"/>
    <col min="13" max="15" width="14.83203125" style="14" bestFit="1" customWidth="1"/>
    <col min="16" max="20" width="8.58203125" style="14"/>
    <col min="21" max="21" width="7.33203125" style="14" customWidth="1"/>
    <col min="22" max="22" width="29.83203125" style="14" bestFit="1" customWidth="1"/>
    <col min="23" max="16384" width="8.58203125" style="14"/>
  </cols>
  <sheetData>
    <row r="1" spans="1:15">
      <c r="A1" s="4" t="s">
        <v>235</v>
      </c>
      <c r="B1" s="4" t="s">
        <v>374</v>
      </c>
      <c r="C1" s="4" t="s">
        <v>232</v>
      </c>
      <c r="D1" s="4" t="s">
        <v>233</v>
      </c>
      <c r="E1" s="4" t="s">
        <v>236</v>
      </c>
      <c r="F1" s="4" t="s">
        <v>237</v>
      </c>
      <c r="G1" s="4" t="s">
        <v>238</v>
      </c>
      <c r="H1" s="4" t="s">
        <v>239</v>
      </c>
      <c r="I1" s="4" t="s">
        <v>240</v>
      </c>
      <c r="L1" s="4" t="s">
        <v>235</v>
      </c>
      <c r="M1" s="4" t="s">
        <v>242</v>
      </c>
      <c r="N1" s="4" t="s">
        <v>243</v>
      </c>
      <c r="O1" s="4" t="s">
        <v>244</v>
      </c>
    </row>
    <row r="2" spans="1:15">
      <c r="A2" s="6" t="str">
        <f>'스탯 시뮬'!C7</f>
        <v>저스티스</v>
      </c>
      <c r="B2" s="6">
        <f>'스탯 시뮬'!E14</f>
        <v>3</v>
      </c>
      <c r="C2" s="6" t="str">
        <f>IFERROR(INDEX($C$8:$I$114,$J2,COLUMN(A1))&amp;"","")</f>
        <v/>
      </c>
      <c r="D2" s="6" t="str">
        <f>IFERROR(INDEX($C$8:$I$114,$J2,COLUMN(B1))&amp;"","")</f>
        <v/>
      </c>
      <c r="E2" s="6" t="str">
        <f t="shared" ref="E2:I2" si="0">IFERROR(INDEX($C$8:$I$114,$J2,COLUMN(C1))&amp;"","")</f>
        <v/>
      </c>
      <c r="F2" s="6" t="str">
        <f t="shared" si="0"/>
        <v/>
      </c>
      <c r="G2" s="6" t="str">
        <f t="shared" si="0"/>
        <v/>
      </c>
      <c r="H2" s="6" t="str">
        <f t="shared" si="0"/>
        <v/>
      </c>
      <c r="I2" s="6" t="str">
        <f t="shared" si="0"/>
        <v/>
      </c>
      <c r="J2" s="14" t="e">
        <f t="array" ref="J2">MATCH(1,($A$8:$A$114=$A2)*($B$8:$B$114=$B2),0)</f>
        <v>#N/A</v>
      </c>
      <c r="L2" s="6" t="str">
        <f>A2</f>
        <v>저스티스</v>
      </c>
      <c r="M2" s="6" t="str">
        <f t="shared" ref="M2:O5" si="1">IFERROR(VLOOKUP($L2,$L$8:$O$12,COLUMN(A1)+1,FALSE),"")</f>
        <v/>
      </c>
      <c r="N2" s="6" t="str">
        <f t="shared" si="1"/>
        <v/>
      </c>
      <c r="O2" s="6" t="str">
        <f t="shared" si="1"/>
        <v/>
      </c>
    </row>
    <row r="3" spans="1:15">
      <c r="A3" s="6" t="str">
        <f>'스탯 시뮬'!C8</f>
        <v>루미나</v>
      </c>
      <c r="B3" s="6">
        <f>'스탯 시뮬'!E15</f>
        <v>3</v>
      </c>
      <c r="C3" s="6" t="str">
        <f t="shared" ref="C3:C5" si="2">IFERROR(INDEX($C$8:$I$114,$J3,COLUMN(A2))&amp;"","")</f>
        <v/>
      </c>
      <c r="D3" s="6" t="str">
        <f t="shared" ref="D3:D5" si="3">IFERROR(INDEX($C$8:$I$114,$J3,COLUMN(B2))&amp;"","")</f>
        <v/>
      </c>
      <c r="E3" s="6" t="str">
        <f t="shared" ref="E3:E5" si="4">IFERROR(INDEX($C$8:$I$114,$J3,COLUMN(C2))&amp;"","")</f>
        <v/>
      </c>
      <c r="F3" s="6" t="str">
        <f t="shared" ref="F3:F5" si="5">IFERROR(INDEX($C$8:$I$114,$J3,COLUMN(D2))&amp;"","")</f>
        <v/>
      </c>
      <c r="G3" s="6" t="str">
        <f t="shared" ref="G3:G5" si="6">IFERROR(INDEX($C$8:$I$114,$J3,COLUMN(E2))&amp;"","")</f>
        <v/>
      </c>
      <c r="H3" s="6" t="str">
        <f t="shared" ref="H3:H5" si="7">IFERROR(INDEX($C$8:$I$114,$J3,COLUMN(F2))&amp;"","")</f>
        <v/>
      </c>
      <c r="I3" s="6" t="str">
        <f t="shared" ref="I3:I5" si="8">IFERROR(INDEX($C$8:$I$114,$J3,COLUMN(G2))&amp;"","")</f>
        <v/>
      </c>
      <c r="J3" s="14" t="e">
        <f t="array" ref="J3">MATCH(1,($A$8:$A$114=$A3)*($B$8:$B$114=$B3),0)</f>
        <v>#N/A</v>
      </c>
      <c r="L3" s="6" t="str">
        <f t="shared" ref="L3:L5" si="9">A3</f>
        <v>루미나</v>
      </c>
      <c r="M3" s="6" t="str">
        <f t="shared" si="1"/>
        <v/>
      </c>
      <c r="N3" s="6" t="str">
        <f t="shared" si="1"/>
        <v/>
      </c>
      <c r="O3" s="6" t="str">
        <f t="shared" si="1"/>
        <v/>
      </c>
    </row>
    <row r="4" spans="1:15">
      <c r="A4" s="6" t="str">
        <f>'스탯 시뮬'!C9</f>
        <v>블랙 불릿</v>
      </c>
      <c r="B4" s="6">
        <f>'스탯 시뮬'!E16</f>
        <v>3</v>
      </c>
      <c r="C4" s="6" t="str">
        <f t="shared" si="2"/>
        <v/>
      </c>
      <c r="D4" s="6" t="str">
        <f t="shared" si="3"/>
        <v/>
      </c>
      <c r="E4" s="6" t="str">
        <f t="shared" si="4"/>
        <v/>
      </c>
      <c r="F4" s="6" t="str">
        <f t="shared" si="5"/>
        <v/>
      </c>
      <c r="G4" s="6" t="str">
        <f t="shared" si="6"/>
        <v/>
      </c>
      <c r="H4" s="6" t="str">
        <f t="shared" si="7"/>
        <v/>
      </c>
      <c r="I4" s="6" t="str">
        <f t="shared" si="8"/>
        <v/>
      </c>
      <c r="J4" s="14" t="e">
        <f t="array" ref="J4">MATCH(1,($A$8:$A$114=$A4)*($B$8:$B$114=$B4),0)</f>
        <v>#N/A</v>
      </c>
      <c r="L4" s="6" t="str">
        <f t="shared" si="9"/>
        <v>블랙 불릿</v>
      </c>
      <c r="M4" s="6" t="str">
        <f t="shared" si="1"/>
        <v/>
      </c>
      <c r="N4" s="6" t="str">
        <f t="shared" si="1"/>
        <v/>
      </c>
      <c r="O4" s="6" t="str">
        <f t="shared" si="1"/>
        <v/>
      </c>
    </row>
    <row r="5" spans="1:15">
      <c r="A5" s="6" t="str">
        <f>'스탯 시뮬'!C10</f>
        <v>네코밍</v>
      </c>
      <c r="B5" s="6">
        <f>'스탯 시뮬'!E17</f>
        <v>2</v>
      </c>
      <c r="C5" s="6" t="str">
        <f t="shared" si="2"/>
        <v/>
      </c>
      <c r="D5" s="6" t="str">
        <f t="shared" si="3"/>
        <v/>
      </c>
      <c r="E5" s="6" t="str">
        <f t="shared" si="4"/>
        <v/>
      </c>
      <c r="F5" s="6" t="str">
        <f t="shared" si="5"/>
        <v/>
      </c>
      <c r="G5" s="6" t="str">
        <f t="shared" si="6"/>
        <v/>
      </c>
      <c r="H5" s="6" t="str">
        <f t="shared" si="7"/>
        <v/>
      </c>
      <c r="I5" s="6" t="str">
        <f t="shared" si="8"/>
        <v/>
      </c>
      <c r="J5" s="14" t="e">
        <f t="array" ref="J5">MATCH(1,($A$8:$A$114=$A5)*($B$8:$B$114=$B5),0)</f>
        <v>#N/A</v>
      </c>
      <c r="L5" s="6" t="str">
        <f t="shared" si="9"/>
        <v>네코밍</v>
      </c>
      <c r="M5" s="6" t="str">
        <f t="shared" si="1"/>
        <v/>
      </c>
      <c r="N5" s="6" t="str">
        <f t="shared" si="1"/>
        <v/>
      </c>
      <c r="O5" s="6" t="str">
        <f t="shared" si="1"/>
        <v/>
      </c>
    </row>
    <row r="7" spans="1:15">
      <c r="A7" s="4" t="s">
        <v>105</v>
      </c>
      <c r="B7" s="72" t="s">
        <v>374</v>
      </c>
      <c r="C7" s="4" t="s">
        <v>232</v>
      </c>
      <c r="D7" s="4" t="s">
        <v>233</v>
      </c>
      <c r="E7" s="4" t="s">
        <v>236</v>
      </c>
      <c r="F7" s="4" t="s">
        <v>237</v>
      </c>
      <c r="G7" s="4" t="s">
        <v>238</v>
      </c>
      <c r="H7" s="4" t="s">
        <v>239</v>
      </c>
      <c r="I7" s="4" t="s">
        <v>240</v>
      </c>
      <c r="L7" s="4" t="s">
        <v>235</v>
      </c>
      <c r="M7" s="4" t="s">
        <v>242</v>
      </c>
      <c r="N7" s="4" t="s">
        <v>243</v>
      </c>
      <c r="O7" s="4" t="s">
        <v>244</v>
      </c>
    </row>
    <row r="8" spans="1:15">
      <c r="A8" s="35" t="s">
        <v>452</v>
      </c>
      <c r="B8" s="35">
        <v>1</v>
      </c>
      <c r="C8" s="35" t="s">
        <v>9</v>
      </c>
      <c r="D8" s="6"/>
      <c r="E8" s="6"/>
      <c r="F8" s="6"/>
      <c r="G8" s="6"/>
      <c r="H8" s="6"/>
      <c r="I8" s="6"/>
      <c r="L8" s="6" t="s">
        <v>452</v>
      </c>
      <c r="M8" s="6" t="s">
        <v>474</v>
      </c>
      <c r="N8" s="6" t="s">
        <v>475</v>
      </c>
      <c r="O8" s="6" t="s">
        <v>476</v>
      </c>
    </row>
    <row r="9" spans="1:15">
      <c r="A9" s="6" t="s">
        <v>452</v>
      </c>
      <c r="B9" s="6">
        <v>2</v>
      </c>
      <c r="C9" s="6" t="s">
        <v>9</v>
      </c>
      <c r="D9" s="6"/>
      <c r="E9" s="6"/>
      <c r="F9" s="6"/>
      <c r="G9" s="6"/>
      <c r="H9" s="6"/>
      <c r="I9" s="6"/>
      <c r="L9" s="6" t="s">
        <v>454</v>
      </c>
      <c r="M9" s="6" t="s">
        <v>480</v>
      </c>
      <c r="N9" s="6" t="s">
        <v>481</v>
      </c>
      <c r="O9" s="6" t="s">
        <v>482</v>
      </c>
    </row>
    <row r="10" spans="1:15">
      <c r="A10" s="35" t="s">
        <v>452</v>
      </c>
      <c r="B10" s="35">
        <v>3</v>
      </c>
      <c r="C10" s="35" t="s">
        <v>9</v>
      </c>
      <c r="D10" s="35" t="s">
        <v>234</v>
      </c>
      <c r="E10" s="35"/>
      <c r="F10" s="35"/>
      <c r="G10" s="35"/>
      <c r="H10" s="35"/>
      <c r="I10" s="35"/>
      <c r="L10" s="6" t="s">
        <v>453</v>
      </c>
      <c r="M10" s="6" t="s">
        <v>477</v>
      </c>
      <c r="N10" s="6" t="s">
        <v>478</v>
      </c>
      <c r="O10" s="6" t="s">
        <v>479</v>
      </c>
    </row>
    <row r="11" spans="1:15">
      <c r="A11" s="6" t="s">
        <v>452</v>
      </c>
      <c r="B11" s="6">
        <v>4</v>
      </c>
      <c r="C11" s="6" t="s">
        <v>9</v>
      </c>
      <c r="D11" s="6" t="s">
        <v>234</v>
      </c>
      <c r="E11" s="6"/>
      <c r="F11" s="6"/>
      <c r="G11" s="6"/>
      <c r="H11" s="6"/>
      <c r="I11" s="6"/>
      <c r="L11" s="6" t="s">
        <v>455</v>
      </c>
      <c r="M11" s="6" t="s">
        <v>483</v>
      </c>
      <c r="N11" s="6" t="s">
        <v>484</v>
      </c>
      <c r="O11" s="6" t="s">
        <v>485</v>
      </c>
    </row>
    <row r="12" spans="1:15">
      <c r="A12" s="35" t="s">
        <v>452</v>
      </c>
      <c r="B12" s="35">
        <v>5</v>
      </c>
      <c r="C12" s="35" t="s">
        <v>9</v>
      </c>
      <c r="D12" s="35" t="s">
        <v>234</v>
      </c>
      <c r="E12" s="35" t="s">
        <v>30</v>
      </c>
      <c r="F12" s="35"/>
      <c r="G12" s="35"/>
      <c r="H12" s="35"/>
      <c r="I12" s="35"/>
      <c r="L12" s="6" t="s">
        <v>457</v>
      </c>
      <c r="M12" s="6" t="s">
        <v>487</v>
      </c>
      <c r="N12" s="6" t="s">
        <v>488</v>
      </c>
      <c r="O12" s="6" t="s">
        <v>489</v>
      </c>
    </row>
    <row r="13" spans="1:15">
      <c r="A13" s="6" t="s">
        <v>452</v>
      </c>
      <c r="B13" s="6">
        <v>6</v>
      </c>
      <c r="C13" s="6" t="s">
        <v>9</v>
      </c>
      <c r="D13" s="6" t="s">
        <v>234</v>
      </c>
      <c r="E13" s="6" t="s">
        <v>30</v>
      </c>
      <c r="F13" s="6"/>
      <c r="G13" s="6"/>
      <c r="H13" s="6"/>
      <c r="I13" s="6"/>
    </row>
    <row r="14" spans="1:15">
      <c r="A14" s="35" t="s">
        <v>452</v>
      </c>
      <c r="B14" s="35">
        <v>7</v>
      </c>
      <c r="C14" s="35" t="s">
        <v>9</v>
      </c>
      <c r="D14" s="35" t="s">
        <v>234</v>
      </c>
      <c r="E14" s="35" t="s">
        <v>30</v>
      </c>
      <c r="F14" s="35" t="s">
        <v>31</v>
      </c>
      <c r="G14" s="35"/>
      <c r="H14" s="35"/>
      <c r="I14" s="35"/>
      <c r="L14" s="55" t="s">
        <v>373</v>
      </c>
      <c r="M14" s="55" t="s">
        <v>372</v>
      </c>
    </row>
    <row r="15" spans="1:15">
      <c r="A15" s="6" t="s">
        <v>452</v>
      </c>
      <c r="B15" s="6">
        <v>8</v>
      </c>
      <c r="C15" s="6" t="s">
        <v>9</v>
      </c>
      <c r="D15" s="6" t="s">
        <v>234</v>
      </c>
      <c r="E15" s="6" t="s">
        <v>30</v>
      </c>
      <c r="F15" s="6" t="s">
        <v>31</v>
      </c>
      <c r="G15" s="6"/>
      <c r="H15" s="6"/>
      <c r="I15" s="6"/>
      <c r="L15" s="58">
        <v>1</v>
      </c>
      <c r="M15" s="58">
        <v>120</v>
      </c>
    </row>
    <row r="16" spans="1:15">
      <c r="A16" s="6" t="s">
        <v>452</v>
      </c>
      <c r="B16" s="6">
        <v>9</v>
      </c>
      <c r="C16" s="6" t="s">
        <v>9</v>
      </c>
      <c r="D16" s="6" t="s">
        <v>234</v>
      </c>
      <c r="E16" s="6" t="s">
        <v>30</v>
      </c>
      <c r="F16" s="6" t="s">
        <v>31</v>
      </c>
      <c r="G16" s="6"/>
      <c r="H16" s="6"/>
      <c r="I16" s="6"/>
      <c r="L16" s="59">
        <v>2</v>
      </c>
      <c r="M16" s="59">
        <v>130</v>
      </c>
    </row>
    <row r="17" spans="1:13">
      <c r="A17" s="35" t="s">
        <v>452</v>
      </c>
      <c r="B17" s="35">
        <v>10</v>
      </c>
      <c r="C17" s="35" t="s">
        <v>9</v>
      </c>
      <c r="D17" s="35" t="s">
        <v>234</v>
      </c>
      <c r="E17" s="35" t="s">
        <v>30</v>
      </c>
      <c r="F17" s="35" t="s">
        <v>31</v>
      </c>
      <c r="G17" s="35" t="s">
        <v>32</v>
      </c>
      <c r="H17" s="35"/>
      <c r="I17" s="35"/>
      <c r="L17" s="58">
        <v>3</v>
      </c>
      <c r="M17" s="58">
        <v>140</v>
      </c>
    </row>
    <row r="18" spans="1:13">
      <c r="A18" s="6" t="s">
        <v>452</v>
      </c>
      <c r="B18" s="6">
        <v>11</v>
      </c>
      <c r="C18" s="6" t="s">
        <v>9</v>
      </c>
      <c r="D18" s="6" t="s">
        <v>234</v>
      </c>
      <c r="E18" s="6" t="s">
        <v>30</v>
      </c>
      <c r="F18" s="6" t="s">
        <v>31</v>
      </c>
      <c r="G18" s="6" t="s">
        <v>32</v>
      </c>
      <c r="H18" s="6"/>
      <c r="I18" s="6"/>
      <c r="L18" s="59">
        <v>4</v>
      </c>
      <c r="M18" s="58">
        <v>150</v>
      </c>
    </row>
    <row r="19" spans="1:13">
      <c r="A19" s="35" t="s">
        <v>452</v>
      </c>
      <c r="B19" s="35">
        <v>12</v>
      </c>
      <c r="C19" s="35" t="s">
        <v>9</v>
      </c>
      <c r="D19" s="35" t="s">
        <v>234</v>
      </c>
      <c r="E19" s="35" t="s">
        <v>30</v>
      </c>
      <c r="F19" s="35" t="s">
        <v>31</v>
      </c>
      <c r="G19" s="35" t="s">
        <v>32</v>
      </c>
      <c r="H19" s="35" t="s">
        <v>33</v>
      </c>
      <c r="I19" s="35"/>
      <c r="L19" s="58">
        <v>5</v>
      </c>
      <c r="M19" s="58">
        <v>160</v>
      </c>
    </row>
    <row r="20" spans="1:13">
      <c r="A20" s="6" t="s">
        <v>452</v>
      </c>
      <c r="B20" s="6">
        <v>13</v>
      </c>
      <c r="C20" s="6" t="s">
        <v>9</v>
      </c>
      <c r="D20" s="6" t="s">
        <v>234</v>
      </c>
      <c r="E20" s="6" t="s">
        <v>30</v>
      </c>
      <c r="F20" s="6" t="s">
        <v>31</v>
      </c>
      <c r="G20" s="6" t="s">
        <v>32</v>
      </c>
      <c r="H20" s="6" t="s">
        <v>33</v>
      </c>
      <c r="I20" s="6"/>
      <c r="L20" s="59">
        <v>6</v>
      </c>
      <c r="M20" s="59">
        <v>170</v>
      </c>
    </row>
    <row r="21" spans="1:13">
      <c r="A21" s="6" t="s">
        <v>452</v>
      </c>
      <c r="B21" s="6">
        <v>14</v>
      </c>
      <c r="C21" s="6" t="s">
        <v>9</v>
      </c>
      <c r="D21" s="6" t="s">
        <v>234</v>
      </c>
      <c r="E21" s="6" t="s">
        <v>30</v>
      </c>
      <c r="F21" s="6" t="s">
        <v>31</v>
      </c>
      <c r="G21" s="6" t="s">
        <v>32</v>
      </c>
      <c r="H21" s="6" t="s">
        <v>33</v>
      </c>
      <c r="I21" s="6"/>
      <c r="L21" s="58">
        <v>7</v>
      </c>
      <c r="M21" s="58">
        <v>180</v>
      </c>
    </row>
    <row r="22" spans="1:13" ht="17.5" thickBot="1">
      <c r="A22" s="35" t="s">
        <v>452</v>
      </c>
      <c r="B22" s="35">
        <v>15</v>
      </c>
      <c r="C22" s="35" t="s">
        <v>9</v>
      </c>
      <c r="D22" s="35" t="s">
        <v>234</v>
      </c>
      <c r="E22" s="35" t="s">
        <v>30</v>
      </c>
      <c r="F22" s="35" t="s">
        <v>31</v>
      </c>
      <c r="G22" s="35" t="s">
        <v>32</v>
      </c>
      <c r="H22" s="35" t="s">
        <v>33</v>
      </c>
      <c r="I22" s="35" t="s">
        <v>26</v>
      </c>
      <c r="L22" s="59">
        <v>8</v>
      </c>
      <c r="M22" s="59">
        <v>200</v>
      </c>
    </row>
    <row r="23" spans="1:13" ht="18" thickTop="1" thickBot="1">
      <c r="A23" s="39" t="s">
        <v>454</v>
      </c>
      <c r="B23" s="39">
        <v>1</v>
      </c>
      <c r="C23" s="39" t="s">
        <v>10</v>
      </c>
      <c r="D23" s="39"/>
      <c r="E23" s="39"/>
      <c r="F23" s="39"/>
      <c r="G23" s="39"/>
      <c r="H23" s="39"/>
      <c r="I23" s="39"/>
    </row>
    <row r="24" spans="1:13" ht="18" thickTop="1" thickBot="1">
      <c r="A24" s="8" t="s">
        <v>454</v>
      </c>
      <c r="B24" s="8">
        <v>2</v>
      </c>
      <c r="C24" s="8" t="s">
        <v>10</v>
      </c>
      <c r="D24" s="8"/>
      <c r="E24" s="8"/>
      <c r="F24" s="8"/>
      <c r="G24" s="8"/>
      <c r="H24" s="8"/>
      <c r="I24" s="8"/>
    </row>
    <row r="25" spans="1:13" ht="18" thickTop="1" thickBot="1">
      <c r="A25" s="39" t="s">
        <v>454</v>
      </c>
      <c r="B25" s="39">
        <v>3</v>
      </c>
      <c r="C25" s="39" t="s">
        <v>10</v>
      </c>
      <c r="D25" s="39" t="s">
        <v>38</v>
      </c>
      <c r="E25" s="8"/>
      <c r="F25" s="8"/>
      <c r="G25" s="8"/>
      <c r="H25" s="8"/>
      <c r="I25" s="8"/>
    </row>
    <row r="26" spans="1:13" ht="18" thickTop="1" thickBot="1">
      <c r="A26" s="8" t="s">
        <v>454</v>
      </c>
      <c r="B26" s="8">
        <v>4</v>
      </c>
      <c r="C26" s="8" t="s">
        <v>10</v>
      </c>
      <c r="D26" s="8" t="s">
        <v>38</v>
      </c>
      <c r="E26" s="8"/>
      <c r="F26" s="8"/>
      <c r="G26" s="8"/>
      <c r="H26" s="8"/>
      <c r="I26" s="8"/>
    </row>
    <row r="27" spans="1:13" ht="18" thickTop="1" thickBot="1">
      <c r="A27" s="39" t="s">
        <v>454</v>
      </c>
      <c r="B27" s="39">
        <v>5</v>
      </c>
      <c r="C27" s="39" t="s">
        <v>10</v>
      </c>
      <c r="D27" s="39" t="s">
        <v>38</v>
      </c>
      <c r="E27" s="39" t="s">
        <v>41</v>
      </c>
      <c r="F27" s="8"/>
      <c r="G27" s="8"/>
      <c r="H27" s="8"/>
      <c r="I27" s="8"/>
    </row>
    <row r="28" spans="1:13" ht="18" thickTop="1" thickBot="1">
      <c r="A28" s="8" t="s">
        <v>454</v>
      </c>
      <c r="B28" s="8">
        <v>6</v>
      </c>
      <c r="C28" s="8" t="s">
        <v>10</v>
      </c>
      <c r="D28" s="8" t="s">
        <v>38</v>
      </c>
      <c r="E28" s="8" t="s">
        <v>41</v>
      </c>
      <c r="F28" s="8"/>
      <c r="G28" s="8"/>
      <c r="H28" s="8"/>
      <c r="I28" s="8"/>
    </row>
    <row r="29" spans="1:13" ht="18" thickTop="1" thickBot="1">
      <c r="A29" s="39" t="s">
        <v>454</v>
      </c>
      <c r="B29" s="39">
        <v>7</v>
      </c>
      <c r="C29" s="39" t="s">
        <v>10</v>
      </c>
      <c r="D29" s="39" t="s">
        <v>38</v>
      </c>
      <c r="E29" s="39" t="s">
        <v>41</v>
      </c>
      <c r="F29" s="39" t="s">
        <v>11</v>
      </c>
      <c r="G29" s="8"/>
      <c r="H29" s="8"/>
      <c r="I29" s="8"/>
    </row>
    <row r="30" spans="1:13" ht="17.5" thickTop="1">
      <c r="A30" s="8" t="s">
        <v>454</v>
      </c>
      <c r="B30" s="8">
        <v>8</v>
      </c>
      <c r="C30" s="8" t="s">
        <v>10</v>
      </c>
      <c r="D30" s="8" t="s">
        <v>38</v>
      </c>
      <c r="E30" s="8" t="s">
        <v>41</v>
      </c>
      <c r="F30" s="8" t="s">
        <v>11</v>
      </c>
      <c r="G30" s="8"/>
      <c r="H30" s="8"/>
      <c r="I30" s="8"/>
    </row>
    <row r="31" spans="1:13" ht="17.5" thickBot="1">
      <c r="A31" s="8" t="s">
        <v>454</v>
      </c>
      <c r="B31" s="8">
        <v>9</v>
      </c>
      <c r="C31" s="8" t="s">
        <v>10</v>
      </c>
      <c r="D31" s="8" t="s">
        <v>38</v>
      </c>
      <c r="E31" s="8" t="s">
        <v>41</v>
      </c>
      <c r="F31" s="8" t="s">
        <v>11</v>
      </c>
      <c r="G31" s="8"/>
      <c r="H31" s="8"/>
      <c r="I31" s="8"/>
    </row>
    <row r="32" spans="1:13" ht="18" thickTop="1" thickBot="1">
      <c r="A32" s="39" t="s">
        <v>454</v>
      </c>
      <c r="B32" s="39">
        <v>10</v>
      </c>
      <c r="C32" s="39" t="s">
        <v>10</v>
      </c>
      <c r="D32" s="39" t="s">
        <v>38</v>
      </c>
      <c r="E32" s="39" t="s">
        <v>41</v>
      </c>
      <c r="F32" s="39" t="s">
        <v>11</v>
      </c>
      <c r="G32" s="39" t="s">
        <v>39</v>
      </c>
      <c r="H32" s="8"/>
      <c r="I32" s="8"/>
    </row>
    <row r="33" spans="1:9" ht="18" thickTop="1" thickBot="1">
      <c r="A33" s="8" t="s">
        <v>454</v>
      </c>
      <c r="B33" s="8">
        <v>11</v>
      </c>
      <c r="C33" s="8" t="s">
        <v>10</v>
      </c>
      <c r="D33" s="8" t="s">
        <v>38</v>
      </c>
      <c r="E33" s="8" t="s">
        <v>41</v>
      </c>
      <c r="F33" s="8" t="s">
        <v>11</v>
      </c>
      <c r="G33" s="8" t="s">
        <v>39</v>
      </c>
      <c r="H33" s="8"/>
      <c r="I33" s="8"/>
    </row>
    <row r="34" spans="1:9" ht="18" thickTop="1" thickBot="1">
      <c r="A34" s="39" t="s">
        <v>454</v>
      </c>
      <c r="B34" s="39">
        <v>12</v>
      </c>
      <c r="C34" s="39" t="s">
        <v>10</v>
      </c>
      <c r="D34" s="39" t="s">
        <v>38</v>
      </c>
      <c r="E34" s="39" t="s">
        <v>41</v>
      </c>
      <c r="F34" s="39" t="s">
        <v>11</v>
      </c>
      <c r="G34" s="39" t="s">
        <v>39</v>
      </c>
      <c r="H34" s="39" t="s">
        <v>40</v>
      </c>
      <c r="I34" s="8"/>
    </row>
    <row r="35" spans="1:9" ht="17.5" thickTop="1">
      <c r="A35" s="8" t="s">
        <v>454</v>
      </c>
      <c r="B35" s="8">
        <v>13</v>
      </c>
      <c r="C35" s="8" t="s">
        <v>10</v>
      </c>
      <c r="D35" s="8" t="s">
        <v>38</v>
      </c>
      <c r="E35" s="8" t="s">
        <v>41</v>
      </c>
      <c r="F35" s="8" t="s">
        <v>11</v>
      </c>
      <c r="G35" s="8" t="s">
        <v>39</v>
      </c>
      <c r="H35" s="8" t="s">
        <v>40</v>
      </c>
      <c r="I35" s="8"/>
    </row>
    <row r="36" spans="1:9" ht="17.5" thickBot="1">
      <c r="A36" s="8" t="s">
        <v>454</v>
      </c>
      <c r="B36" s="8">
        <v>14</v>
      </c>
      <c r="C36" s="8" t="s">
        <v>10</v>
      </c>
      <c r="D36" s="8" t="s">
        <v>38</v>
      </c>
      <c r="E36" s="8" t="s">
        <v>41</v>
      </c>
      <c r="F36" s="8" t="s">
        <v>11</v>
      </c>
      <c r="G36" s="8" t="s">
        <v>39</v>
      </c>
      <c r="H36" s="8" t="s">
        <v>40</v>
      </c>
      <c r="I36" s="8"/>
    </row>
    <row r="37" spans="1:9" ht="18" thickTop="1" thickBot="1">
      <c r="A37" s="39" t="s">
        <v>454</v>
      </c>
      <c r="B37" s="39">
        <v>15</v>
      </c>
      <c r="C37" s="39" t="s">
        <v>10</v>
      </c>
      <c r="D37" s="39" t="s">
        <v>38</v>
      </c>
      <c r="E37" s="39" t="s">
        <v>41</v>
      </c>
      <c r="F37" s="39" t="s">
        <v>11</v>
      </c>
      <c r="G37" s="39" t="s">
        <v>39</v>
      </c>
      <c r="H37" s="39" t="s">
        <v>40</v>
      </c>
      <c r="I37" s="39" t="s">
        <v>42</v>
      </c>
    </row>
    <row r="38" spans="1:9" ht="17.5" thickTop="1">
      <c r="A38" s="35" t="s">
        <v>453</v>
      </c>
      <c r="B38" s="35">
        <v>1</v>
      </c>
      <c r="C38" s="35" t="s">
        <v>43</v>
      </c>
      <c r="D38" s="6"/>
      <c r="E38" s="6"/>
      <c r="F38" s="6"/>
      <c r="G38" s="6"/>
      <c r="H38" s="6"/>
      <c r="I38" s="6"/>
    </row>
    <row r="39" spans="1:9">
      <c r="A39" s="6" t="s">
        <v>453</v>
      </c>
      <c r="B39" s="6">
        <v>2</v>
      </c>
      <c r="C39" s="6" t="s">
        <v>43</v>
      </c>
      <c r="D39" s="6"/>
      <c r="E39" s="6"/>
      <c r="F39" s="6"/>
      <c r="G39" s="6"/>
      <c r="H39" s="6"/>
      <c r="I39" s="6"/>
    </row>
    <row r="40" spans="1:9">
      <c r="A40" s="35" t="s">
        <v>453</v>
      </c>
      <c r="B40" s="35">
        <v>3</v>
      </c>
      <c r="C40" s="35" t="s">
        <v>43</v>
      </c>
      <c r="D40" s="35" t="s">
        <v>44</v>
      </c>
      <c r="E40" s="6"/>
      <c r="F40" s="6"/>
      <c r="G40" s="6"/>
      <c r="H40" s="6"/>
      <c r="I40" s="6"/>
    </row>
    <row r="41" spans="1:9">
      <c r="A41" s="6" t="s">
        <v>453</v>
      </c>
      <c r="B41" s="6">
        <v>4</v>
      </c>
      <c r="C41" s="6" t="s">
        <v>43</v>
      </c>
      <c r="D41" s="6" t="s">
        <v>44</v>
      </c>
      <c r="E41" s="6"/>
      <c r="F41" s="6"/>
      <c r="G41" s="6"/>
      <c r="H41" s="6"/>
      <c r="I41" s="6"/>
    </row>
    <row r="42" spans="1:9">
      <c r="A42" s="35" t="s">
        <v>453</v>
      </c>
      <c r="B42" s="35">
        <v>5</v>
      </c>
      <c r="C42" s="35" t="s">
        <v>43</v>
      </c>
      <c r="D42" s="35" t="s">
        <v>44</v>
      </c>
      <c r="E42" s="35" t="s">
        <v>46</v>
      </c>
      <c r="F42" s="6"/>
      <c r="G42" s="6"/>
      <c r="H42" s="6"/>
      <c r="I42" s="6"/>
    </row>
    <row r="43" spans="1:9">
      <c r="A43" s="6" t="s">
        <v>453</v>
      </c>
      <c r="B43" s="6">
        <v>6</v>
      </c>
      <c r="C43" s="6" t="s">
        <v>43</v>
      </c>
      <c r="D43" s="6" t="s">
        <v>44</v>
      </c>
      <c r="E43" s="6" t="s">
        <v>46</v>
      </c>
      <c r="F43" s="6"/>
      <c r="G43" s="6"/>
      <c r="H43" s="6"/>
      <c r="I43" s="6"/>
    </row>
    <row r="44" spans="1:9">
      <c r="A44" s="35" t="s">
        <v>453</v>
      </c>
      <c r="B44" s="35">
        <v>7</v>
      </c>
      <c r="C44" s="35" t="s">
        <v>43</v>
      </c>
      <c r="D44" s="35" t="s">
        <v>44</v>
      </c>
      <c r="E44" s="35" t="s">
        <v>46</v>
      </c>
      <c r="F44" s="35" t="s">
        <v>45</v>
      </c>
      <c r="G44" s="6"/>
      <c r="H44" s="6"/>
      <c r="I44" s="6"/>
    </row>
    <row r="45" spans="1:9">
      <c r="A45" s="6" t="s">
        <v>453</v>
      </c>
      <c r="B45" s="6">
        <v>8</v>
      </c>
      <c r="C45" s="6" t="s">
        <v>43</v>
      </c>
      <c r="D45" s="6" t="s">
        <v>44</v>
      </c>
      <c r="E45" s="6" t="s">
        <v>46</v>
      </c>
      <c r="F45" s="6" t="s">
        <v>45</v>
      </c>
      <c r="G45" s="6"/>
      <c r="H45" s="6"/>
      <c r="I45" s="6"/>
    </row>
    <row r="46" spans="1:9">
      <c r="A46" s="6" t="s">
        <v>453</v>
      </c>
      <c r="B46" s="6">
        <v>9</v>
      </c>
      <c r="C46" s="6" t="s">
        <v>43</v>
      </c>
      <c r="D46" s="6" t="s">
        <v>44</v>
      </c>
      <c r="E46" s="6" t="s">
        <v>46</v>
      </c>
      <c r="F46" s="6" t="s">
        <v>45</v>
      </c>
      <c r="G46" s="6"/>
      <c r="H46" s="6"/>
      <c r="I46" s="6"/>
    </row>
    <row r="47" spans="1:9">
      <c r="A47" s="35" t="s">
        <v>453</v>
      </c>
      <c r="B47" s="35">
        <v>10</v>
      </c>
      <c r="C47" s="35" t="s">
        <v>43</v>
      </c>
      <c r="D47" s="35" t="s">
        <v>44</v>
      </c>
      <c r="E47" s="35" t="s">
        <v>46</v>
      </c>
      <c r="F47" s="35" t="s">
        <v>45</v>
      </c>
      <c r="G47" s="35" t="s">
        <v>27</v>
      </c>
      <c r="H47" s="6"/>
      <c r="I47" s="6"/>
    </row>
    <row r="48" spans="1:9">
      <c r="A48" s="6" t="s">
        <v>453</v>
      </c>
      <c r="B48" s="6">
        <v>11</v>
      </c>
      <c r="C48" s="6" t="s">
        <v>43</v>
      </c>
      <c r="D48" s="6" t="s">
        <v>44</v>
      </c>
      <c r="E48" s="6" t="s">
        <v>46</v>
      </c>
      <c r="F48" s="6" t="s">
        <v>45</v>
      </c>
      <c r="G48" s="6" t="s">
        <v>27</v>
      </c>
      <c r="H48" s="6"/>
      <c r="I48" s="6"/>
    </row>
    <row r="49" spans="1:9">
      <c r="A49" s="35" t="s">
        <v>453</v>
      </c>
      <c r="B49" s="35">
        <v>12</v>
      </c>
      <c r="C49" s="35" t="s">
        <v>43</v>
      </c>
      <c r="D49" s="35" t="s">
        <v>44</v>
      </c>
      <c r="E49" s="35" t="s">
        <v>46</v>
      </c>
      <c r="F49" s="35" t="s">
        <v>45</v>
      </c>
      <c r="G49" s="35" t="s">
        <v>27</v>
      </c>
      <c r="H49" s="35" t="s">
        <v>13</v>
      </c>
      <c r="I49" s="6"/>
    </row>
    <row r="50" spans="1:9">
      <c r="A50" s="6" t="s">
        <v>453</v>
      </c>
      <c r="B50" s="6">
        <v>13</v>
      </c>
      <c r="C50" s="6" t="s">
        <v>43</v>
      </c>
      <c r="D50" s="6" t="s">
        <v>44</v>
      </c>
      <c r="E50" s="6" t="s">
        <v>46</v>
      </c>
      <c r="F50" s="6" t="s">
        <v>45</v>
      </c>
      <c r="G50" s="6" t="s">
        <v>27</v>
      </c>
      <c r="H50" s="6" t="s">
        <v>13</v>
      </c>
      <c r="I50" s="6"/>
    </row>
    <row r="51" spans="1:9">
      <c r="A51" s="6" t="s">
        <v>453</v>
      </c>
      <c r="B51" s="6">
        <v>14</v>
      </c>
      <c r="C51" s="6" t="s">
        <v>43</v>
      </c>
      <c r="D51" s="6" t="s">
        <v>44</v>
      </c>
      <c r="E51" s="6" t="s">
        <v>46</v>
      </c>
      <c r="F51" s="6" t="s">
        <v>45</v>
      </c>
      <c r="G51" s="6" t="s">
        <v>27</v>
      </c>
      <c r="H51" s="6" t="s">
        <v>13</v>
      </c>
      <c r="I51" s="6"/>
    </row>
    <row r="52" spans="1:9" ht="17.5" thickBot="1">
      <c r="A52" s="35" t="s">
        <v>453</v>
      </c>
      <c r="B52" s="35">
        <v>15</v>
      </c>
      <c r="C52" s="35" t="s">
        <v>43</v>
      </c>
      <c r="D52" s="35" t="s">
        <v>44</v>
      </c>
      <c r="E52" s="35" t="s">
        <v>46</v>
      </c>
      <c r="F52" s="35" t="s">
        <v>45</v>
      </c>
      <c r="G52" s="35" t="s">
        <v>27</v>
      </c>
      <c r="H52" s="35" t="s">
        <v>13</v>
      </c>
      <c r="I52" s="35" t="s">
        <v>28</v>
      </c>
    </row>
    <row r="53" spans="1:9" ht="18" thickTop="1" thickBot="1">
      <c r="A53" s="39" t="s">
        <v>455</v>
      </c>
      <c r="B53" s="39">
        <v>1</v>
      </c>
      <c r="C53" s="39" t="s">
        <v>14</v>
      </c>
      <c r="D53" s="8"/>
      <c r="E53" s="8"/>
      <c r="F53" s="8"/>
      <c r="G53" s="8"/>
      <c r="H53" s="8"/>
      <c r="I53" s="8"/>
    </row>
    <row r="54" spans="1:9" ht="18" thickTop="1" thickBot="1">
      <c r="A54" s="8" t="s">
        <v>455</v>
      </c>
      <c r="B54" s="8">
        <v>2</v>
      </c>
      <c r="C54" s="8" t="s">
        <v>14</v>
      </c>
      <c r="D54" s="8"/>
      <c r="E54" s="8"/>
      <c r="F54" s="8"/>
      <c r="G54" s="8"/>
      <c r="H54" s="8"/>
      <c r="I54" s="8"/>
    </row>
    <row r="55" spans="1:9" ht="18" thickTop="1" thickBot="1">
      <c r="A55" s="39" t="s">
        <v>455</v>
      </c>
      <c r="B55" s="39">
        <v>3</v>
      </c>
      <c r="C55" s="39" t="s">
        <v>14</v>
      </c>
      <c r="D55" s="39" t="s">
        <v>47</v>
      </c>
      <c r="E55" s="8"/>
      <c r="F55" s="8"/>
      <c r="G55" s="8"/>
      <c r="H55" s="8"/>
      <c r="I55" s="8"/>
    </row>
    <row r="56" spans="1:9" ht="18" thickTop="1" thickBot="1">
      <c r="A56" s="8" t="s">
        <v>455</v>
      </c>
      <c r="B56" s="8">
        <v>4</v>
      </c>
      <c r="C56" s="8" t="s">
        <v>14</v>
      </c>
      <c r="D56" s="8" t="s">
        <v>47</v>
      </c>
      <c r="E56" s="8"/>
      <c r="F56" s="8"/>
      <c r="G56" s="8"/>
      <c r="H56" s="8"/>
      <c r="I56" s="8"/>
    </row>
    <row r="57" spans="1:9" ht="18" thickTop="1" thickBot="1">
      <c r="A57" s="39" t="s">
        <v>455</v>
      </c>
      <c r="B57" s="39">
        <v>5</v>
      </c>
      <c r="C57" s="39" t="s">
        <v>14</v>
      </c>
      <c r="D57" s="39" t="s">
        <v>47</v>
      </c>
      <c r="E57" s="39" t="s">
        <v>49</v>
      </c>
      <c r="F57" s="8"/>
      <c r="G57" s="8"/>
      <c r="H57" s="8"/>
      <c r="I57" s="8"/>
    </row>
    <row r="58" spans="1:9" ht="18" thickTop="1" thickBot="1">
      <c r="A58" s="8" t="s">
        <v>455</v>
      </c>
      <c r="B58" s="8">
        <v>6</v>
      </c>
      <c r="C58" s="8" t="s">
        <v>14</v>
      </c>
      <c r="D58" s="8" t="s">
        <v>47</v>
      </c>
      <c r="E58" s="8" t="s">
        <v>49</v>
      </c>
      <c r="F58" s="8"/>
      <c r="G58" s="8"/>
      <c r="H58" s="8"/>
      <c r="I58" s="8"/>
    </row>
    <row r="59" spans="1:9" ht="18" thickTop="1" thickBot="1">
      <c r="A59" s="39" t="s">
        <v>455</v>
      </c>
      <c r="B59" s="39">
        <v>7</v>
      </c>
      <c r="C59" s="39" t="s">
        <v>14</v>
      </c>
      <c r="D59" s="39" t="s">
        <v>47</v>
      </c>
      <c r="E59" s="39" t="s">
        <v>49</v>
      </c>
      <c r="F59" s="39" t="s">
        <v>48</v>
      </c>
      <c r="G59" s="8"/>
      <c r="H59" s="8"/>
      <c r="I59" s="8"/>
    </row>
    <row r="60" spans="1:9" ht="17.5" thickTop="1">
      <c r="A60" s="8" t="s">
        <v>455</v>
      </c>
      <c r="B60" s="8">
        <v>8</v>
      </c>
      <c r="C60" s="8" t="s">
        <v>14</v>
      </c>
      <c r="D60" s="8" t="s">
        <v>47</v>
      </c>
      <c r="E60" s="8" t="s">
        <v>49</v>
      </c>
      <c r="F60" s="8" t="s">
        <v>48</v>
      </c>
      <c r="G60" s="8"/>
      <c r="H60" s="8"/>
      <c r="I60" s="8"/>
    </row>
    <row r="61" spans="1:9" ht="17.5" thickBot="1">
      <c r="A61" s="8" t="s">
        <v>455</v>
      </c>
      <c r="B61" s="8">
        <v>9</v>
      </c>
      <c r="C61" s="8" t="s">
        <v>14</v>
      </c>
      <c r="D61" s="8" t="s">
        <v>47</v>
      </c>
      <c r="E61" s="8" t="s">
        <v>49</v>
      </c>
      <c r="F61" s="8" t="s">
        <v>48</v>
      </c>
      <c r="G61" s="8"/>
      <c r="H61" s="8"/>
      <c r="I61" s="8"/>
    </row>
    <row r="62" spans="1:9" ht="18" thickTop="1" thickBot="1">
      <c r="A62" s="39" t="s">
        <v>455</v>
      </c>
      <c r="B62" s="39">
        <v>10</v>
      </c>
      <c r="C62" s="39" t="s">
        <v>14</v>
      </c>
      <c r="D62" s="39" t="s">
        <v>47</v>
      </c>
      <c r="E62" s="39" t="s">
        <v>49</v>
      </c>
      <c r="F62" s="39" t="s">
        <v>48</v>
      </c>
      <c r="G62" s="39" t="s">
        <v>29</v>
      </c>
      <c r="H62" s="8"/>
      <c r="I62" s="8"/>
    </row>
    <row r="63" spans="1:9" ht="18" thickTop="1" thickBot="1">
      <c r="A63" s="8" t="s">
        <v>455</v>
      </c>
      <c r="B63" s="8">
        <v>11</v>
      </c>
      <c r="C63" s="8" t="s">
        <v>14</v>
      </c>
      <c r="D63" s="8" t="s">
        <v>47</v>
      </c>
      <c r="E63" s="8" t="s">
        <v>49</v>
      </c>
      <c r="F63" s="8" t="s">
        <v>48</v>
      </c>
      <c r="G63" s="8" t="s">
        <v>29</v>
      </c>
      <c r="H63" s="8"/>
      <c r="I63" s="8"/>
    </row>
    <row r="64" spans="1:9" ht="18" thickTop="1" thickBot="1">
      <c r="A64" s="39" t="s">
        <v>455</v>
      </c>
      <c r="B64" s="39">
        <v>12</v>
      </c>
      <c r="C64" s="39" t="s">
        <v>14</v>
      </c>
      <c r="D64" s="39" t="s">
        <v>47</v>
      </c>
      <c r="E64" s="39" t="s">
        <v>49</v>
      </c>
      <c r="F64" s="39" t="s">
        <v>48</v>
      </c>
      <c r="G64" s="39" t="s">
        <v>29</v>
      </c>
      <c r="H64" s="39" t="s">
        <v>50</v>
      </c>
      <c r="I64" s="8"/>
    </row>
    <row r="65" spans="1:9" ht="17.5" thickTop="1">
      <c r="A65" s="8" t="s">
        <v>455</v>
      </c>
      <c r="B65" s="8">
        <v>13</v>
      </c>
      <c r="C65" s="8" t="s">
        <v>14</v>
      </c>
      <c r="D65" s="8" t="s">
        <v>47</v>
      </c>
      <c r="E65" s="8" t="s">
        <v>49</v>
      </c>
      <c r="F65" s="8" t="s">
        <v>48</v>
      </c>
      <c r="G65" s="8" t="s">
        <v>29</v>
      </c>
      <c r="H65" s="8" t="s">
        <v>50</v>
      </c>
      <c r="I65" s="8"/>
    </row>
    <row r="66" spans="1:9" ht="17.5" thickBot="1">
      <c r="A66" s="8" t="s">
        <v>455</v>
      </c>
      <c r="B66" s="8">
        <v>14</v>
      </c>
      <c r="C66" s="8" t="s">
        <v>14</v>
      </c>
      <c r="D66" s="8" t="s">
        <v>47</v>
      </c>
      <c r="E66" s="8" t="s">
        <v>49</v>
      </c>
      <c r="F66" s="8" t="s">
        <v>48</v>
      </c>
      <c r="G66" s="8" t="s">
        <v>29</v>
      </c>
      <c r="H66" s="8" t="s">
        <v>50</v>
      </c>
      <c r="I66" s="8"/>
    </row>
    <row r="67" spans="1:9" ht="18" thickTop="1" thickBot="1">
      <c r="A67" s="39" t="s">
        <v>455</v>
      </c>
      <c r="B67" s="39">
        <v>15</v>
      </c>
      <c r="C67" s="39" t="s">
        <v>14</v>
      </c>
      <c r="D67" s="39" t="s">
        <v>47</v>
      </c>
      <c r="E67" s="39" t="s">
        <v>49</v>
      </c>
      <c r="F67" s="39" t="s">
        <v>48</v>
      </c>
      <c r="G67" s="39" t="s">
        <v>29</v>
      </c>
      <c r="H67" s="39" t="s">
        <v>50</v>
      </c>
      <c r="I67" s="39" t="s">
        <v>51</v>
      </c>
    </row>
    <row r="68" spans="1:9" ht="17.5" thickTop="1">
      <c r="A68" s="57" t="s">
        <v>105</v>
      </c>
      <c r="B68" s="57" t="s">
        <v>20</v>
      </c>
      <c r="C68" s="57" t="s">
        <v>232</v>
      </c>
      <c r="D68" s="57" t="s">
        <v>233</v>
      </c>
      <c r="E68" s="57" t="s">
        <v>236</v>
      </c>
      <c r="F68" s="57" t="s">
        <v>237</v>
      </c>
      <c r="G68" s="57" t="s">
        <v>238</v>
      </c>
      <c r="H68" s="57" t="s">
        <v>239</v>
      </c>
      <c r="I68" s="57" t="s">
        <v>240</v>
      </c>
    </row>
    <row r="69" spans="1:9">
      <c r="A69" s="35" t="s">
        <v>457</v>
      </c>
      <c r="B69" s="35">
        <v>1</v>
      </c>
      <c r="C69" s="35" t="s">
        <v>331</v>
      </c>
      <c r="D69" s="6"/>
      <c r="E69" s="6"/>
      <c r="F69" s="6"/>
      <c r="G69" s="6"/>
      <c r="H69" s="6"/>
      <c r="I69" s="6"/>
    </row>
    <row r="70" spans="1:9">
      <c r="A70" s="6" t="s">
        <v>457</v>
      </c>
      <c r="B70" s="6">
        <v>2</v>
      </c>
      <c r="C70" s="6" t="s">
        <v>331</v>
      </c>
      <c r="D70" s="6"/>
      <c r="E70" s="6"/>
      <c r="F70" s="6"/>
      <c r="G70" s="6"/>
      <c r="H70" s="6"/>
      <c r="I70" s="6"/>
    </row>
    <row r="71" spans="1:9">
      <c r="A71" s="35" t="s">
        <v>457</v>
      </c>
      <c r="B71" s="35">
        <v>3</v>
      </c>
      <c r="C71" s="35" t="s">
        <v>331</v>
      </c>
      <c r="D71" s="35" t="s">
        <v>486</v>
      </c>
      <c r="E71" s="35"/>
      <c r="F71" s="35"/>
      <c r="G71" s="35"/>
      <c r="H71" s="35"/>
      <c r="I71" s="35"/>
    </row>
    <row r="72" spans="1:9">
      <c r="A72" s="6" t="s">
        <v>457</v>
      </c>
      <c r="B72" s="6">
        <v>4</v>
      </c>
      <c r="C72" s="6" t="s">
        <v>331</v>
      </c>
      <c r="D72" s="6" t="s">
        <v>486</v>
      </c>
      <c r="E72" s="6"/>
      <c r="F72" s="6"/>
      <c r="G72" s="6"/>
      <c r="H72" s="6"/>
      <c r="I72" s="6"/>
    </row>
    <row r="73" spans="1:9">
      <c r="A73" s="35" t="s">
        <v>457</v>
      </c>
      <c r="B73" s="35">
        <v>5</v>
      </c>
      <c r="C73" s="35" t="s">
        <v>331</v>
      </c>
      <c r="D73" s="35" t="s">
        <v>486</v>
      </c>
      <c r="E73" s="35" t="s">
        <v>333</v>
      </c>
      <c r="F73" s="35"/>
      <c r="G73" s="35"/>
      <c r="H73" s="35"/>
      <c r="I73" s="35"/>
    </row>
    <row r="74" spans="1:9">
      <c r="A74" s="6" t="s">
        <v>457</v>
      </c>
      <c r="B74" s="6">
        <v>6</v>
      </c>
      <c r="C74" s="6" t="s">
        <v>331</v>
      </c>
      <c r="D74" s="6" t="s">
        <v>486</v>
      </c>
      <c r="E74" s="6" t="s">
        <v>333</v>
      </c>
      <c r="F74" s="6"/>
      <c r="G74" s="6"/>
      <c r="H74" s="6"/>
      <c r="I74" s="6"/>
    </row>
    <row r="75" spans="1:9">
      <c r="A75" s="35" t="s">
        <v>457</v>
      </c>
      <c r="B75" s="35">
        <v>7</v>
      </c>
      <c r="C75" s="35" t="s">
        <v>331</v>
      </c>
      <c r="D75" s="35" t="s">
        <v>486</v>
      </c>
      <c r="E75" s="35" t="s">
        <v>333</v>
      </c>
      <c r="F75" s="35" t="s">
        <v>334</v>
      </c>
      <c r="G75" s="35"/>
      <c r="H75" s="35"/>
      <c r="I75" s="35"/>
    </row>
    <row r="76" spans="1:9">
      <c r="A76" s="6" t="s">
        <v>457</v>
      </c>
      <c r="B76" s="6">
        <v>8</v>
      </c>
      <c r="C76" s="6" t="s">
        <v>331</v>
      </c>
      <c r="D76" s="6" t="s">
        <v>486</v>
      </c>
      <c r="E76" s="6" t="s">
        <v>333</v>
      </c>
      <c r="F76" s="6" t="s">
        <v>334</v>
      </c>
      <c r="G76" s="6"/>
      <c r="H76" s="6"/>
      <c r="I76" s="6"/>
    </row>
    <row r="77" spans="1:9">
      <c r="A77" s="6" t="s">
        <v>457</v>
      </c>
      <c r="B77" s="6">
        <v>9</v>
      </c>
      <c r="C77" s="6" t="s">
        <v>331</v>
      </c>
      <c r="D77" s="6" t="s">
        <v>486</v>
      </c>
      <c r="E77" s="6" t="s">
        <v>333</v>
      </c>
      <c r="F77" s="6" t="s">
        <v>334</v>
      </c>
      <c r="G77" s="6"/>
      <c r="H77" s="6"/>
      <c r="I77" s="6"/>
    </row>
    <row r="78" spans="1:9">
      <c r="A78" s="35" t="s">
        <v>457</v>
      </c>
      <c r="B78" s="35">
        <v>10</v>
      </c>
      <c r="C78" s="35" t="s">
        <v>331</v>
      </c>
      <c r="D78" s="35" t="s">
        <v>486</v>
      </c>
      <c r="E78" s="35" t="s">
        <v>333</v>
      </c>
      <c r="F78" s="35" t="s">
        <v>334</v>
      </c>
      <c r="G78" s="35" t="s">
        <v>332</v>
      </c>
      <c r="H78" s="35"/>
      <c r="I78" s="35"/>
    </row>
    <row r="79" spans="1:9">
      <c r="A79" s="6" t="s">
        <v>457</v>
      </c>
      <c r="B79" s="6">
        <v>11</v>
      </c>
      <c r="C79" s="6" t="s">
        <v>331</v>
      </c>
      <c r="D79" s="6" t="s">
        <v>486</v>
      </c>
      <c r="E79" s="6" t="s">
        <v>333</v>
      </c>
      <c r="F79" s="6" t="s">
        <v>334</v>
      </c>
      <c r="G79" s="6" t="s">
        <v>332</v>
      </c>
      <c r="H79" s="6"/>
      <c r="I79" s="6"/>
    </row>
    <row r="80" spans="1:9">
      <c r="A80" s="35" t="s">
        <v>457</v>
      </c>
      <c r="B80" s="35">
        <v>12</v>
      </c>
      <c r="C80" s="35" t="s">
        <v>331</v>
      </c>
      <c r="D80" s="35" t="s">
        <v>486</v>
      </c>
      <c r="E80" s="35" t="s">
        <v>333</v>
      </c>
      <c r="F80" s="35" t="s">
        <v>334</v>
      </c>
      <c r="G80" s="35" t="s">
        <v>332</v>
      </c>
      <c r="H80" s="35" t="s">
        <v>336</v>
      </c>
      <c r="I80" s="35"/>
    </row>
    <row r="81" spans="1:9">
      <c r="A81" s="6" t="s">
        <v>457</v>
      </c>
      <c r="B81" s="6">
        <v>13</v>
      </c>
      <c r="C81" s="6" t="s">
        <v>331</v>
      </c>
      <c r="D81" s="6" t="s">
        <v>486</v>
      </c>
      <c r="E81" s="6" t="s">
        <v>333</v>
      </c>
      <c r="F81" s="6" t="s">
        <v>334</v>
      </c>
      <c r="G81" s="6" t="s">
        <v>332</v>
      </c>
      <c r="H81" s="6" t="s">
        <v>336</v>
      </c>
      <c r="I81" s="6"/>
    </row>
    <row r="82" spans="1:9">
      <c r="A82" s="6" t="s">
        <v>457</v>
      </c>
      <c r="B82" s="6">
        <v>14</v>
      </c>
      <c r="C82" s="6" t="s">
        <v>331</v>
      </c>
      <c r="D82" s="6" t="s">
        <v>486</v>
      </c>
      <c r="E82" s="6" t="s">
        <v>333</v>
      </c>
      <c r="F82" s="6" t="s">
        <v>334</v>
      </c>
      <c r="G82" s="6" t="s">
        <v>332</v>
      </c>
      <c r="H82" s="6" t="s">
        <v>336</v>
      </c>
      <c r="I82" s="6"/>
    </row>
    <row r="83" spans="1:9">
      <c r="A83" s="35" t="s">
        <v>457</v>
      </c>
      <c r="B83" s="35">
        <v>15</v>
      </c>
      <c r="C83" s="35" t="s">
        <v>331</v>
      </c>
      <c r="D83" s="35" t="s">
        <v>486</v>
      </c>
      <c r="E83" s="35" t="s">
        <v>333</v>
      </c>
      <c r="F83" s="35" t="s">
        <v>334</v>
      </c>
      <c r="G83" s="35" t="s">
        <v>332</v>
      </c>
      <c r="H83" s="35" t="s">
        <v>336</v>
      </c>
      <c r="I83" s="35" t="s">
        <v>335</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F0486-A89C-4F9D-AD66-9F439FE2CDB6}">
  <dimension ref="A2:N157"/>
  <sheetViews>
    <sheetView topLeftCell="A16" zoomScale="85" zoomScaleNormal="85" workbookViewId="0"/>
  </sheetViews>
  <sheetFormatPr defaultColWidth="8.6640625" defaultRowHeight="17"/>
  <cols>
    <col min="1" max="1" width="8.6640625" style="14"/>
    <col min="2" max="2" width="25" style="14" customWidth="1"/>
    <col min="3" max="3" width="22.5" style="14" bestFit="1" customWidth="1"/>
    <col min="4" max="13" width="20.58203125" style="14" customWidth="1"/>
    <col min="14" max="14" width="17.75" style="14" bestFit="1" customWidth="1"/>
    <col min="15" max="15" width="18" style="14" bestFit="1" customWidth="1"/>
    <col min="16" max="16384" width="8.6640625" style="14"/>
  </cols>
  <sheetData>
    <row r="2" spans="1:14" ht="36">
      <c r="A2" s="64" t="s">
        <v>768</v>
      </c>
    </row>
    <row r="3" spans="1:14" ht="125.25" customHeight="1">
      <c r="B3" s="143" t="s">
        <v>769</v>
      </c>
      <c r="C3" s="143"/>
      <c r="D3" s="143"/>
      <c r="E3" s="143"/>
      <c r="F3" s="143"/>
      <c r="G3" s="143"/>
      <c r="H3" s="143"/>
      <c r="I3" s="143"/>
    </row>
    <row r="4" spans="1:14">
      <c r="C4" s="75"/>
      <c r="D4" s="75"/>
      <c r="E4" s="75"/>
      <c r="F4" s="75"/>
      <c r="G4" s="75"/>
      <c r="H4" s="75"/>
      <c r="I4" s="75"/>
    </row>
    <row r="5" spans="1:14" ht="36">
      <c r="A5" s="64" t="s">
        <v>393</v>
      </c>
    </row>
    <row r="6" spans="1:14" ht="252" customHeight="1">
      <c r="B6" s="143" t="s">
        <v>767</v>
      </c>
      <c r="C6" s="143"/>
      <c r="D6" s="143"/>
      <c r="E6" s="143"/>
      <c r="F6" s="143"/>
      <c r="G6" s="143"/>
      <c r="H6" s="143"/>
      <c r="I6" s="143"/>
    </row>
    <row r="8" spans="1:14" ht="36">
      <c r="A8" s="64" t="s">
        <v>490</v>
      </c>
    </row>
    <row r="9" spans="1:14">
      <c r="B9" s="155" t="s">
        <v>309</v>
      </c>
      <c r="C9" s="60" t="s">
        <v>310</v>
      </c>
    </row>
    <row r="10" spans="1:14">
      <c r="B10" s="155"/>
      <c r="C10" s="61" t="s">
        <v>312</v>
      </c>
    </row>
    <row r="11" spans="1:14" ht="17.5" thickBot="1">
      <c r="B11" s="155"/>
      <c r="C11" s="62" t="s">
        <v>311</v>
      </c>
    </row>
    <row r="12" spans="1:14" ht="17.5" thickTop="1">
      <c r="B12" s="155"/>
      <c r="C12" s="63" t="s">
        <v>313</v>
      </c>
      <c r="G12" s="152" t="s">
        <v>320</v>
      </c>
      <c r="H12" s="153"/>
      <c r="I12" s="153"/>
      <c r="J12" s="153"/>
      <c r="K12" s="153"/>
      <c r="L12" s="153"/>
      <c r="M12" s="154"/>
    </row>
    <row r="13" spans="1:14" ht="34">
      <c r="B13" s="114"/>
      <c r="C13" s="114" t="s">
        <v>391</v>
      </c>
      <c r="D13" s="114" t="s">
        <v>392</v>
      </c>
      <c r="E13" s="114" t="s">
        <v>750</v>
      </c>
      <c r="F13" s="112" t="s">
        <v>751</v>
      </c>
      <c r="G13" s="65" t="s">
        <v>323</v>
      </c>
      <c r="H13" s="65" t="s">
        <v>321</v>
      </c>
      <c r="I13" s="65" t="s">
        <v>322</v>
      </c>
      <c r="J13" s="66" t="s">
        <v>325</v>
      </c>
      <c r="K13" s="66" t="s">
        <v>324</v>
      </c>
      <c r="L13" s="66" t="s">
        <v>326</v>
      </c>
      <c r="M13" s="66" t="s">
        <v>394</v>
      </c>
      <c r="N13" s="114" t="s">
        <v>327</v>
      </c>
    </row>
    <row r="14" spans="1:14">
      <c r="B14" s="114" t="s">
        <v>772</v>
      </c>
      <c r="C14" s="44" t="s">
        <v>806</v>
      </c>
      <c r="D14" s="44">
        <v>3</v>
      </c>
      <c r="E14" s="38">
        <f>VLOOKUP($D14,'범례(시뮬용)'!$L$15:$M$29,2,FALSE)</f>
        <v>140</v>
      </c>
      <c r="F14" s="111">
        <v>100</v>
      </c>
      <c r="G14" s="118">
        <f>'스탯 시뮬'!E37</f>
        <v>14</v>
      </c>
      <c r="H14" s="118">
        <f>'스탯 시뮬'!F37</f>
        <v>18</v>
      </c>
      <c r="I14" s="118">
        <f>'스탯 시뮬'!G37</f>
        <v>9</v>
      </c>
      <c r="J14" s="53">
        <f>'스탯 시뮬'!H37</f>
        <v>0.15</v>
      </c>
      <c r="K14" s="53">
        <f>'스탯 시뮬'!I37</f>
        <v>0.15</v>
      </c>
      <c r="L14" s="53">
        <f>'스탯 시뮬'!J37</f>
        <v>0.15</v>
      </c>
      <c r="M14" s="118">
        <f>'스탯 시뮬'!K37</f>
        <v>2</v>
      </c>
      <c r="N14" s="67">
        <v>1</v>
      </c>
    </row>
    <row r="15" spans="1:14">
      <c r="B15" s="114" t="s">
        <v>773</v>
      </c>
      <c r="C15" s="44" t="s">
        <v>807</v>
      </c>
      <c r="D15" s="44">
        <v>3</v>
      </c>
      <c r="E15" s="38">
        <f>VLOOKUP($D15,'범례(시뮬용)'!$L$15:$M$29,2,FALSE)</f>
        <v>140</v>
      </c>
      <c r="F15" s="111">
        <v>100</v>
      </c>
      <c r="G15" s="118">
        <f>'스탯 시뮬'!E38</f>
        <v>12</v>
      </c>
      <c r="H15" s="118">
        <f>'스탯 시뮬'!F38</f>
        <v>21</v>
      </c>
      <c r="I15" s="118">
        <f>'스탯 시뮬'!G38</f>
        <v>8</v>
      </c>
      <c r="J15" s="53">
        <f>'스탯 시뮬'!H38</f>
        <v>0.3</v>
      </c>
      <c r="K15" s="53">
        <f>'스탯 시뮬'!I38</f>
        <v>0.1</v>
      </c>
      <c r="L15" s="53">
        <f>'스탯 시뮬'!J38</f>
        <v>0.2</v>
      </c>
      <c r="M15" s="118">
        <f>'스탯 시뮬'!K38</f>
        <v>3</v>
      </c>
      <c r="N15" s="67">
        <v>1</v>
      </c>
    </row>
    <row r="16" spans="1:14">
      <c r="B16" s="114" t="s">
        <v>774</v>
      </c>
      <c r="C16" s="44" t="s">
        <v>808</v>
      </c>
      <c r="D16" s="44">
        <v>3</v>
      </c>
      <c r="E16" s="38">
        <f>VLOOKUP($D16,'범례(시뮬용)'!$L$15:$M$29,2,FALSE)</f>
        <v>140</v>
      </c>
      <c r="F16" s="111">
        <v>100</v>
      </c>
      <c r="G16" s="118">
        <f>'스탯 시뮬'!E39</f>
        <v>10</v>
      </c>
      <c r="H16" s="118">
        <f>'스탯 시뮬'!F39</f>
        <v>25</v>
      </c>
      <c r="I16" s="118">
        <f>'스탯 시뮬'!G39</f>
        <v>6</v>
      </c>
      <c r="J16" s="53">
        <f>'스탯 시뮬'!H39</f>
        <v>0.2</v>
      </c>
      <c r="K16" s="53">
        <f>'스탯 시뮬'!I39</f>
        <v>0.05</v>
      </c>
      <c r="L16" s="53">
        <f>'스탯 시뮬'!J39</f>
        <v>0.1</v>
      </c>
      <c r="M16" s="118">
        <f>'스탯 시뮬'!K39</f>
        <v>2</v>
      </c>
      <c r="N16" s="67">
        <v>1</v>
      </c>
    </row>
    <row r="17" spans="1:14">
      <c r="B17" s="114" t="s">
        <v>775</v>
      </c>
      <c r="C17" s="44" t="s">
        <v>809</v>
      </c>
      <c r="D17" s="44">
        <v>2</v>
      </c>
      <c r="E17" s="38">
        <f>VLOOKUP($D17,'범례(시뮬용)'!$L$15:$M$29,2,FALSE)</f>
        <v>130</v>
      </c>
      <c r="F17" s="111">
        <v>100</v>
      </c>
      <c r="G17" s="118">
        <f>'스탯 시뮬'!E40</f>
        <v>11</v>
      </c>
      <c r="H17" s="118">
        <f>'스탯 시뮬'!F40</f>
        <v>13</v>
      </c>
      <c r="I17" s="118">
        <f>'스탯 시뮬'!G40</f>
        <v>7</v>
      </c>
      <c r="J17" s="53">
        <f>'스탯 시뮬'!H40</f>
        <v>0.1</v>
      </c>
      <c r="K17" s="53">
        <f>'스탯 시뮬'!I40</f>
        <v>0.1</v>
      </c>
      <c r="L17" s="53">
        <f>'스탯 시뮬'!J40</f>
        <v>0.15</v>
      </c>
      <c r="M17" s="118">
        <f>'스탯 시뮬'!K40</f>
        <v>2</v>
      </c>
      <c r="N17" s="67">
        <v>1</v>
      </c>
    </row>
    <row r="18" spans="1:14">
      <c r="B18" s="114" t="s">
        <v>762</v>
      </c>
      <c r="C18" s="44" t="s">
        <v>471</v>
      </c>
      <c r="D18" s="68"/>
      <c r="E18" s="68"/>
      <c r="F18" s="68"/>
      <c r="G18" s="38">
        <f>IFERROR(VLOOKUP($C18,'적군 유닛'!$C$6:$K$8,COLUMN(A1)+2,FALSE),"")</f>
        <v>20</v>
      </c>
      <c r="H18" s="38">
        <f>IFERROR(VLOOKUP($C18,'적군 유닛'!$C$6:$K$8,COLUMN(B1)+2,FALSE),"")</f>
        <v>12</v>
      </c>
      <c r="I18" s="38">
        <f>IFERROR(VLOOKUP($C18,'적군 유닛'!$C$6:$K$8,COLUMN(C1)+2,FALSE),"")</f>
        <v>12</v>
      </c>
      <c r="J18" s="53">
        <f>IFERROR(VLOOKUP($C18,'적군 유닛'!$C$6:$K$8,COLUMN(D1)+2,FALSE),"")</f>
        <v>0.2</v>
      </c>
      <c r="K18" s="53">
        <f>IFERROR(VLOOKUP($C18,'적군 유닛'!$C$6:$K$8,COLUMN(E1)+2,FALSE),"")</f>
        <v>0.15</v>
      </c>
      <c r="L18" s="53">
        <f>IFERROR(VLOOKUP($C18,'적군 유닛'!$C$6:$K$8,COLUMN(F1)+2,FALSE),"")</f>
        <v>0.15</v>
      </c>
      <c r="M18" s="38">
        <f>IFERROR(VLOOKUP($C18,'적군 유닛'!$C$6:$K$8,COLUMN(G1)+2,FALSE),"")</f>
        <v>3</v>
      </c>
      <c r="N18" s="67">
        <v>1</v>
      </c>
    </row>
    <row r="19" spans="1:14">
      <c r="B19" s="114" t="s">
        <v>763</v>
      </c>
      <c r="C19" s="44" t="s">
        <v>471</v>
      </c>
      <c r="D19" s="68"/>
      <c r="E19" s="68"/>
      <c r="F19" s="68"/>
      <c r="G19" s="38">
        <f>IFERROR(VLOOKUP($C19,'적군 유닛'!$C$6:$K$8,COLUMN(A2)+2,FALSE),"")</f>
        <v>20</v>
      </c>
      <c r="H19" s="38">
        <f>IFERROR(VLOOKUP($C19,'적군 유닛'!$C$6:$K$8,COLUMN(B2)+2,FALSE),"")</f>
        <v>12</v>
      </c>
      <c r="I19" s="38">
        <f>IFERROR(VLOOKUP($C19,'적군 유닛'!$C$6:$K$8,COLUMN(C2)+2,FALSE),"")</f>
        <v>12</v>
      </c>
      <c r="J19" s="53">
        <f>IFERROR(VLOOKUP($C19,'적군 유닛'!$C$6:$K$8,COLUMN(D2)+2,FALSE),"")</f>
        <v>0.2</v>
      </c>
      <c r="K19" s="53">
        <f>IFERROR(VLOOKUP($C19,'적군 유닛'!$C$6:$K$8,COLUMN(E2)+2,FALSE),"")</f>
        <v>0.15</v>
      </c>
      <c r="L19" s="53">
        <f>IFERROR(VLOOKUP($C19,'적군 유닛'!$C$6:$K$8,COLUMN(F2)+2,FALSE),"")</f>
        <v>0.15</v>
      </c>
      <c r="M19" s="38">
        <f>IFERROR(VLOOKUP($C19,'적군 유닛'!$C$6:$K$8,COLUMN(G2)+2,FALSE),"")</f>
        <v>3</v>
      </c>
      <c r="N19" s="67">
        <v>1</v>
      </c>
    </row>
    <row r="20" spans="1:14">
      <c r="B20" s="114" t="s">
        <v>765</v>
      </c>
      <c r="C20" s="44" t="s">
        <v>471</v>
      </c>
      <c r="D20" s="68"/>
      <c r="E20" s="68"/>
      <c r="F20" s="68"/>
      <c r="G20" s="38">
        <f>IFERROR(VLOOKUP($C20,'적군 유닛'!$C$6:$K$8,COLUMN(A3)+2,FALSE),"")</f>
        <v>20</v>
      </c>
      <c r="H20" s="38">
        <f>IFERROR(VLOOKUP($C20,'적군 유닛'!$C$6:$K$8,COLUMN(B3)+2,FALSE),"")</f>
        <v>12</v>
      </c>
      <c r="I20" s="38">
        <f>IFERROR(VLOOKUP($C20,'적군 유닛'!$C$6:$K$8,COLUMN(C3)+2,FALSE),"")</f>
        <v>12</v>
      </c>
      <c r="J20" s="53">
        <f>IFERROR(VLOOKUP($C20,'적군 유닛'!$C$6:$K$8,COLUMN(D3)+2,FALSE),"")</f>
        <v>0.2</v>
      </c>
      <c r="K20" s="53">
        <f>IFERROR(VLOOKUP($C20,'적군 유닛'!$C$6:$K$8,COLUMN(E3)+2,FALSE),"")</f>
        <v>0.15</v>
      </c>
      <c r="L20" s="53">
        <f>IFERROR(VLOOKUP($C20,'적군 유닛'!$C$6:$K$8,COLUMN(F3)+2,FALSE),"")</f>
        <v>0.15</v>
      </c>
      <c r="M20" s="38">
        <f>IFERROR(VLOOKUP($C20,'적군 유닛'!$C$6:$K$8,COLUMN(G3)+2,FALSE),"")</f>
        <v>3</v>
      </c>
      <c r="N20" s="67">
        <v>1</v>
      </c>
    </row>
    <row r="21" spans="1:14">
      <c r="B21" s="114" t="s">
        <v>766</v>
      </c>
      <c r="C21" s="44" t="s">
        <v>471</v>
      </c>
      <c r="D21" s="68"/>
      <c r="E21" s="68"/>
      <c r="F21" s="68"/>
      <c r="G21" s="38">
        <f>IFERROR(VLOOKUP($C21,'적군 유닛'!$C$6:$K$8,COLUMN(A4)+2,FALSE),"")</f>
        <v>20</v>
      </c>
      <c r="H21" s="38">
        <f>IFERROR(VLOOKUP($C21,'적군 유닛'!$C$6:$K$8,COLUMN(B4)+2,FALSE),"")</f>
        <v>12</v>
      </c>
      <c r="I21" s="38">
        <f>IFERROR(VLOOKUP($C21,'적군 유닛'!$C$6:$K$8,COLUMN(C4)+2,FALSE),"")</f>
        <v>12</v>
      </c>
      <c r="J21" s="53">
        <f>IFERROR(VLOOKUP($C21,'적군 유닛'!$C$6:$K$8,COLUMN(D4)+2,FALSE),"")</f>
        <v>0.2</v>
      </c>
      <c r="K21" s="53">
        <f>IFERROR(VLOOKUP($C21,'적군 유닛'!$C$6:$K$8,COLUMN(E4)+2,FALSE),"")</f>
        <v>0.15</v>
      </c>
      <c r="L21" s="53">
        <f>IFERROR(VLOOKUP($C21,'적군 유닛'!$C$6:$K$8,COLUMN(F4)+2,FALSE),"")</f>
        <v>0.15</v>
      </c>
      <c r="M21" s="38">
        <f>IFERROR(VLOOKUP($C21,'적군 유닛'!$C$6:$K$8,COLUMN(G4)+2,FALSE),"")</f>
        <v>3</v>
      </c>
      <c r="N21" s="67">
        <v>1</v>
      </c>
    </row>
    <row r="23" spans="1:14" ht="36">
      <c r="A23" s="64" t="s">
        <v>770</v>
      </c>
    </row>
    <row r="24" spans="1:14">
      <c r="B24" s="114" t="s">
        <v>341</v>
      </c>
    </row>
    <row r="25" spans="1:14">
      <c r="B25" s="44">
        <v>2</v>
      </c>
    </row>
    <row r="26" spans="1:14">
      <c r="B26" s="114" t="s">
        <v>785</v>
      </c>
      <c r="C26" s="114" t="s">
        <v>772</v>
      </c>
      <c r="D26" s="114" t="s">
        <v>773</v>
      </c>
      <c r="E26" s="114" t="s">
        <v>774</v>
      </c>
      <c r="F26" s="114" t="s">
        <v>775</v>
      </c>
    </row>
    <row r="27" spans="1:14">
      <c r="B27" s="114" t="s">
        <v>762</v>
      </c>
      <c r="C27" s="6">
        <f>MAX(ROUND(($H$14-I18)*$N$14*$F$14/100, 0), $B$25)</f>
        <v>6</v>
      </c>
      <c r="D27" s="6">
        <f>MAX(ROUND(($H$15-I18)*$N$15*$F$15/100, 0), $B$25)</f>
        <v>9</v>
      </c>
      <c r="E27" s="6">
        <f>MAX(ROUND(($H$16-I18)*$N$16*$F$16/100, 0), $B$25)</f>
        <v>13</v>
      </c>
      <c r="F27" s="6">
        <f>MAX(ROUND(($H$17-I18)*$N$17*$F$17/100, 0), $B$25)</f>
        <v>2</v>
      </c>
    </row>
    <row r="28" spans="1:14">
      <c r="B28" s="114" t="s">
        <v>763</v>
      </c>
      <c r="C28" s="6">
        <f t="shared" ref="C28:C30" si="0">MAX(ROUND(($H$14-I19)*$N$14*$F$14/100, 0), $B$25)</f>
        <v>6</v>
      </c>
      <c r="D28" s="6">
        <f t="shared" ref="D28:D30" si="1">MAX(ROUND(($H$15-I19)*$N$15*$F$15/100, 0), $B$25)</f>
        <v>9</v>
      </c>
      <c r="E28" s="6">
        <f t="shared" ref="E28:E30" si="2">MAX(ROUND(($H$16-I19)*$N$16*$F$16/100, 0), $B$25)</f>
        <v>13</v>
      </c>
      <c r="F28" s="6">
        <f t="shared" ref="F28:F30" si="3">MAX(ROUND(($H$17-I19)*$N$17*$F$17/100, 0), $B$25)</f>
        <v>2</v>
      </c>
    </row>
    <row r="29" spans="1:14">
      <c r="B29" s="114" t="s">
        <v>765</v>
      </c>
      <c r="C29" s="6">
        <f t="shared" si="0"/>
        <v>6</v>
      </c>
      <c r="D29" s="6">
        <f t="shared" si="1"/>
        <v>9</v>
      </c>
      <c r="E29" s="6">
        <f t="shared" si="2"/>
        <v>13</v>
      </c>
      <c r="F29" s="6">
        <f t="shared" si="3"/>
        <v>2</v>
      </c>
    </row>
    <row r="30" spans="1:14">
      <c r="B30" s="114" t="s">
        <v>766</v>
      </c>
      <c r="C30" s="6">
        <f t="shared" si="0"/>
        <v>6</v>
      </c>
      <c r="D30" s="6">
        <f t="shared" si="1"/>
        <v>9</v>
      </c>
      <c r="E30" s="6">
        <f t="shared" si="2"/>
        <v>13</v>
      </c>
      <c r="F30" s="6">
        <f t="shared" si="3"/>
        <v>2</v>
      </c>
    </row>
    <row r="31" spans="1:14">
      <c r="B31" s="114" t="s">
        <v>785</v>
      </c>
      <c r="C31" s="114" t="s">
        <v>762</v>
      </c>
      <c r="D31" s="114" t="s">
        <v>763</v>
      </c>
      <c r="E31" s="114" t="s">
        <v>765</v>
      </c>
      <c r="F31" s="114" t="s">
        <v>766</v>
      </c>
    </row>
    <row r="32" spans="1:14">
      <c r="B32" s="114" t="s">
        <v>772</v>
      </c>
      <c r="C32" s="6">
        <f>MAX(ROUND(($H$18-I14)*$N$18,0),$B$25)</f>
        <v>3</v>
      </c>
      <c r="D32" s="6">
        <f>MAX(ROUND(($H$19-I14)*$N$18,0),$B$25)</f>
        <v>3</v>
      </c>
      <c r="E32" s="6">
        <f>MAX(ROUND(($H$20-I14)*$N$18,0),$B$25)</f>
        <v>3</v>
      </c>
      <c r="F32" s="6">
        <f>MAX(ROUND(($H$21-I14)*$N$18,0),$B$25)</f>
        <v>3</v>
      </c>
    </row>
    <row r="33" spans="1:13">
      <c r="B33" s="114" t="s">
        <v>773</v>
      </c>
      <c r="C33" s="6">
        <f t="shared" ref="C33:C35" si="4">MAX(ROUND(($H$18-I15)*$N$18,0),$B$25)</f>
        <v>4</v>
      </c>
      <c r="D33" s="6">
        <f t="shared" ref="D33:D35" si="5">MAX(ROUND(($H$19-I15)*$N$18,0),$B$25)</f>
        <v>4</v>
      </c>
      <c r="E33" s="6">
        <f t="shared" ref="E33:E35" si="6">MAX(ROUND(($H$20-I15)*$N$18,0),$B$25)</f>
        <v>4</v>
      </c>
      <c r="F33" s="6">
        <f t="shared" ref="F33:F34" si="7">MAX(ROUND(($H$21-I15)*$N$18,0),$B$25)</f>
        <v>4</v>
      </c>
    </row>
    <row r="34" spans="1:13">
      <c r="B34" s="114" t="s">
        <v>774</v>
      </c>
      <c r="C34" s="6">
        <f t="shared" si="4"/>
        <v>6</v>
      </c>
      <c r="D34" s="6">
        <f t="shared" si="5"/>
        <v>6</v>
      </c>
      <c r="E34" s="6">
        <f t="shared" si="6"/>
        <v>6</v>
      </c>
      <c r="F34" s="6">
        <f t="shared" si="7"/>
        <v>6</v>
      </c>
    </row>
    <row r="35" spans="1:13">
      <c r="B35" s="114" t="s">
        <v>775</v>
      </c>
      <c r="C35" s="6">
        <f t="shared" si="4"/>
        <v>5</v>
      </c>
      <c r="D35" s="6">
        <f t="shared" si="5"/>
        <v>5</v>
      </c>
      <c r="E35" s="6">
        <f t="shared" si="6"/>
        <v>5</v>
      </c>
      <c r="F35" s="6">
        <f>MAX(ROUND(($H$21-I17)*$N$18,0),$B$25)</f>
        <v>5</v>
      </c>
    </row>
    <row r="37" spans="1:13" ht="36">
      <c r="A37" s="64" t="s">
        <v>786</v>
      </c>
    </row>
    <row r="38" spans="1:13" ht="17.5" thickBot="1">
      <c r="B38" s="114" t="s">
        <v>790</v>
      </c>
      <c r="C38" s="110" t="s">
        <v>771</v>
      </c>
      <c r="D38" s="111" t="s">
        <v>761</v>
      </c>
      <c r="E38" s="113" t="s">
        <v>790</v>
      </c>
      <c r="F38" s="111" t="s">
        <v>773</v>
      </c>
      <c r="G38" s="111" t="s">
        <v>763</v>
      </c>
      <c r="H38" s="113" t="s">
        <v>790</v>
      </c>
      <c r="I38" s="111" t="s">
        <v>787</v>
      </c>
      <c r="J38" s="111" t="s">
        <v>765</v>
      </c>
      <c r="K38" s="113" t="s">
        <v>790</v>
      </c>
      <c r="L38" s="111" t="s">
        <v>788</v>
      </c>
      <c r="M38" s="111" t="s">
        <v>766</v>
      </c>
    </row>
    <row r="39" spans="1:13" ht="18" thickTop="1" thickBot="1">
      <c r="B39" s="114" t="s">
        <v>391</v>
      </c>
      <c r="C39" s="39" t="str">
        <f>IFERROR(VLOOKUP(C38,$B$14:$C$17,2,FALSE),"")</f>
        <v>저스티스</v>
      </c>
      <c r="D39" s="39" t="str">
        <f>IFERROR(VLOOKUP(D38,$B$18:$C$21,2,FALSE),"")</f>
        <v>MiddleVillian</v>
      </c>
      <c r="E39" s="114" t="s">
        <v>391</v>
      </c>
      <c r="F39" s="39" t="str">
        <f>IFERROR(VLOOKUP(F38,$B$14:$C$17,2,FALSE),"")</f>
        <v>루미나</v>
      </c>
      <c r="G39" s="39" t="str">
        <f>IFERROR(VLOOKUP(G38,$B$18:$C$21,2,FALSE),"")</f>
        <v>MiddleVillian</v>
      </c>
      <c r="H39" s="114" t="s">
        <v>391</v>
      </c>
      <c r="I39" s="39" t="str">
        <f>IFERROR(VLOOKUP(I38,$B$14:$C$17,2,FALSE),"")</f>
        <v>블랙 불릿</v>
      </c>
      <c r="J39" s="39" t="str">
        <f>IFERROR(VLOOKUP(J38,$B$18:$C$21,2,FALSE),"")</f>
        <v>MiddleVillian</v>
      </c>
      <c r="K39" s="114" t="s">
        <v>391</v>
      </c>
      <c r="L39" s="39" t="str">
        <f>IFERROR(VLOOKUP(L38,$B$14:$C$17,2,FALSE),"")</f>
        <v>네코밍</v>
      </c>
      <c r="M39" s="39" t="str">
        <f>IFERROR(VLOOKUP(M38,$B$18:$C$21,2,FALSE),"")</f>
        <v>MiddleVillian</v>
      </c>
    </row>
    <row r="40" spans="1:13" ht="17.5" thickTop="1">
      <c r="B40" s="114" t="s">
        <v>789</v>
      </c>
      <c r="C40" s="114">
        <f>IFERROR(VLOOKUP(C38,$B$14:$G$17,6,FALSE),"")</f>
        <v>14</v>
      </c>
      <c r="D40" s="114">
        <f>IFERROR(VLOOKUP(D38,$B$18:$G$21,6,FALSE),"")</f>
        <v>20</v>
      </c>
      <c r="E40" s="114" t="s">
        <v>789</v>
      </c>
      <c r="F40" s="114">
        <f>IFERROR(VLOOKUP(F38,$B$14:$G$17,6,FALSE),"")</f>
        <v>12</v>
      </c>
      <c r="G40" s="114">
        <f>IFERROR(VLOOKUP(G38,$B$18:$G$21,6,FALSE),"")</f>
        <v>20</v>
      </c>
      <c r="H40" s="114" t="s">
        <v>789</v>
      </c>
      <c r="I40" s="114">
        <f>IFERROR(VLOOKUP(I38,$B$14:$G$17,6,FALSE),"")</f>
        <v>10</v>
      </c>
      <c r="J40" s="114">
        <f>IFERROR(VLOOKUP(J38,$B$18:$G$21,6,FALSE),"")</f>
        <v>20</v>
      </c>
      <c r="K40" s="114" t="s">
        <v>789</v>
      </c>
      <c r="L40" s="114">
        <f>IFERROR(VLOOKUP(L38,$B$14:$G$17,6,FALSE),"")</f>
        <v>11</v>
      </c>
      <c r="M40" s="114">
        <f>IFERROR(VLOOKUP(M38,$B$18:$G$21,6,FALSE),"")</f>
        <v>20</v>
      </c>
    </row>
    <row r="41" spans="1:13">
      <c r="B41" s="114">
        <v>1</v>
      </c>
      <c r="C41" s="6">
        <f>C40-INDEX($C$32:$F$35,
MATCH(C$38,$B$32:$B$35,0),
MATCH(D$38,$C$31:$F$31,0))</f>
        <v>11</v>
      </c>
      <c r="D41" s="6">
        <f>D40-INDEX($C$27:$F$30,
MATCH(D$38,$B$27:$B$30,0),
MATCH(C$38,$C$26:$F$26,0))</f>
        <v>14</v>
      </c>
      <c r="E41" s="114">
        <v>1</v>
      </c>
      <c r="F41" s="6">
        <f>F40-INDEX($C$32:$F$35,
MATCH($F$38,$B$32:$B$35,0),
MATCH($G$38,$C$31:$F$31,0))</f>
        <v>8</v>
      </c>
      <c r="G41" s="6">
        <f>G40-INDEX($C$27:$F$30,
MATCH($G$38,$B$27:$B$30,0),
MATCH($F$38,$C$26:$F$26,0))</f>
        <v>11</v>
      </c>
      <c r="H41" s="114">
        <v>1</v>
      </c>
      <c r="I41" s="6">
        <f>I40-INDEX($C$32:$F$35,
MATCH($I$38,$B$32:$B$35,0),
MATCH($J$38,$C$31:$F$31,0))</f>
        <v>4</v>
      </c>
      <c r="J41" s="6">
        <f>J40-INDEX($C$27:$F$30,
MATCH($J$38,$B$27:$B$30,0),
MATCH($I$38,$C$26:$F$26,0))</f>
        <v>7</v>
      </c>
      <c r="K41" s="114">
        <v>1</v>
      </c>
      <c r="L41" s="6">
        <f>L40-INDEX($C$32:$F$35,
MATCH($L$38,$B$32:$B$35,0),
MATCH($M$38,$C$31:$F$31,0))</f>
        <v>6</v>
      </c>
      <c r="M41" s="6">
        <f>M40-INDEX($C$27:$F$30,
MATCH($M$38,$B$27:$B$30,0),
MATCH($L$38,$C$26:$F$26,0))</f>
        <v>18</v>
      </c>
    </row>
    <row r="42" spans="1:13">
      <c r="B42" s="114">
        <v>2</v>
      </c>
      <c r="C42" s="6">
        <f t="shared" ref="C42:C48" si="8">C41-INDEX($C$32:$F$35,
MATCH($C$38,$B$32:$B$35,0),
MATCH($D$38,$C$31:$F$31,0))</f>
        <v>8</v>
      </c>
      <c r="D42" s="6">
        <f t="shared" ref="D42:D48" si="9">D41-INDEX($C$27:$F$30,
MATCH($D$38,$B$27:$B$30,0),
MATCH($C$38,$C$26:$F$26,0))</f>
        <v>8</v>
      </c>
      <c r="E42" s="114">
        <v>2</v>
      </c>
      <c r="F42" s="6">
        <f t="shared" ref="F42:F48" si="10">F41-INDEX($C$32:$F$35,
MATCH($F$38,$B$32:$B$35,0),
MATCH($G$38,$C$31:$F$31,0))</f>
        <v>4</v>
      </c>
      <c r="G42" s="6">
        <f t="shared" ref="G42:G48" si="11">G41-INDEX($C$27:$F$30,
MATCH($G$38,$B$27:$B$30,0),
MATCH($F$38,$C$26:$F$26,0))</f>
        <v>2</v>
      </c>
      <c r="H42" s="114">
        <v>2</v>
      </c>
      <c r="I42" s="6">
        <f t="shared" ref="I42:I48" si="12">I41-INDEX($C$32:$F$35,
MATCH($I$38,$B$32:$B$35,0),
MATCH($J$38,$C$31:$F$31,0))</f>
        <v>-2</v>
      </c>
      <c r="J42" s="6">
        <f t="shared" ref="J42:J48" si="13">J41-INDEX($C$27:$F$30,
MATCH($J$38,$B$27:$B$30,0),
MATCH($I$38,$C$26:$F$26,0))</f>
        <v>-6</v>
      </c>
      <c r="K42" s="114">
        <v>2</v>
      </c>
      <c r="L42" s="6">
        <f t="shared" ref="L42:L48" si="14">L41-INDEX($C$32:$F$35,
MATCH($L$38,$B$32:$B$35,0),
MATCH($M$38,$C$31:$F$31,0))</f>
        <v>1</v>
      </c>
      <c r="M42" s="6">
        <f t="shared" ref="M42:M48" si="15">M41-INDEX($C$27:$F$30,
MATCH($M$38,$B$27:$B$30,0),
MATCH($L$38,$C$26:$F$26,0))</f>
        <v>16</v>
      </c>
    </row>
    <row r="43" spans="1:13">
      <c r="B43" s="114">
        <v>3</v>
      </c>
      <c r="C43" s="6">
        <f t="shared" si="8"/>
        <v>5</v>
      </c>
      <c r="D43" s="6">
        <f t="shared" si="9"/>
        <v>2</v>
      </c>
      <c r="E43" s="114">
        <v>3</v>
      </c>
      <c r="F43" s="6">
        <f t="shared" si="10"/>
        <v>0</v>
      </c>
      <c r="G43" s="6">
        <f t="shared" si="11"/>
        <v>-7</v>
      </c>
      <c r="H43" s="114">
        <v>3</v>
      </c>
      <c r="I43" s="6">
        <f t="shared" si="12"/>
        <v>-8</v>
      </c>
      <c r="J43" s="6">
        <f t="shared" si="13"/>
        <v>-19</v>
      </c>
      <c r="K43" s="114">
        <v>3</v>
      </c>
      <c r="L43" s="6">
        <f t="shared" si="14"/>
        <v>-4</v>
      </c>
      <c r="M43" s="6">
        <f t="shared" si="15"/>
        <v>14</v>
      </c>
    </row>
    <row r="44" spans="1:13">
      <c r="B44" s="114">
        <v>4</v>
      </c>
      <c r="C44" s="6">
        <f t="shared" si="8"/>
        <v>2</v>
      </c>
      <c r="D44" s="6">
        <f t="shared" si="9"/>
        <v>-4</v>
      </c>
      <c r="E44" s="114">
        <v>4</v>
      </c>
      <c r="F44" s="6">
        <f t="shared" si="10"/>
        <v>-4</v>
      </c>
      <c r="G44" s="6">
        <f t="shared" si="11"/>
        <v>-16</v>
      </c>
      <c r="H44" s="114">
        <v>4</v>
      </c>
      <c r="I44" s="6">
        <f t="shared" si="12"/>
        <v>-14</v>
      </c>
      <c r="J44" s="6">
        <f t="shared" si="13"/>
        <v>-32</v>
      </c>
      <c r="K44" s="114">
        <v>4</v>
      </c>
      <c r="L44" s="6">
        <f t="shared" si="14"/>
        <v>-9</v>
      </c>
      <c r="M44" s="6">
        <f t="shared" si="15"/>
        <v>12</v>
      </c>
    </row>
    <row r="45" spans="1:13">
      <c r="B45" s="114">
        <v>5</v>
      </c>
      <c r="C45" s="6">
        <f t="shared" si="8"/>
        <v>-1</v>
      </c>
      <c r="D45" s="6">
        <f t="shared" si="9"/>
        <v>-10</v>
      </c>
      <c r="E45" s="114">
        <v>5</v>
      </c>
      <c r="F45" s="6">
        <f t="shared" si="10"/>
        <v>-8</v>
      </c>
      <c r="G45" s="6">
        <f t="shared" si="11"/>
        <v>-25</v>
      </c>
      <c r="H45" s="114">
        <v>5</v>
      </c>
      <c r="I45" s="6">
        <f t="shared" si="12"/>
        <v>-20</v>
      </c>
      <c r="J45" s="6">
        <f t="shared" si="13"/>
        <v>-45</v>
      </c>
      <c r="K45" s="114">
        <v>5</v>
      </c>
      <c r="L45" s="6">
        <f t="shared" si="14"/>
        <v>-14</v>
      </c>
      <c r="M45" s="6">
        <f t="shared" si="15"/>
        <v>10</v>
      </c>
    </row>
    <row r="46" spans="1:13">
      <c r="B46" s="114">
        <v>6</v>
      </c>
      <c r="C46" s="6">
        <f t="shared" si="8"/>
        <v>-4</v>
      </c>
      <c r="D46" s="6">
        <f t="shared" si="9"/>
        <v>-16</v>
      </c>
      <c r="E46" s="114">
        <v>6</v>
      </c>
      <c r="F46" s="6">
        <f t="shared" si="10"/>
        <v>-12</v>
      </c>
      <c r="G46" s="6">
        <f t="shared" si="11"/>
        <v>-34</v>
      </c>
      <c r="H46" s="114">
        <v>6</v>
      </c>
      <c r="I46" s="6">
        <f t="shared" si="12"/>
        <v>-26</v>
      </c>
      <c r="J46" s="6">
        <f t="shared" si="13"/>
        <v>-58</v>
      </c>
      <c r="K46" s="114">
        <v>6</v>
      </c>
      <c r="L46" s="6">
        <f t="shared" si="14"/>
        <v>-19</v>
      </c>
      <c r="M46" s="6">
        <f t="shared" si="15"/>
        <v>8</v>
      </c>
    </row>
    <row r="47" spans="1:13">
      <c r="B47" s="114">
        <v>7</v>
      </c>
      <c r="C47" s="6">
        <f t="shared" si="8"/>
        <v>-7</v>
      </c>
      <c r="D47" s="6">
        <f t="shared" si="9"/>
        <v>-22</v>
      </c>
      <c r="E47" s="114">
        <v>7</v>
      </c>
      <c r="F47" s="6">
        <f t="shared" si="10"/>
        <v>-16</v>
      </c>
      <c r="G47" s="6">
        <f t="shared" si="11"/>
        <v>-43</v>
      </c>
      <c r="H47" s="114">
        <v>7</v>
      </c>
      <c r="I47" s="6">
        <f t="shared" si="12"/>
        <v>-32</v>
      </c>
      <c r="J47" s="6">
        <f t="shared" si="13"/>
        <v>-71</v>
      </c>
      <c r="K47" s="114">
        <v>7</v>
      </c>
      <c r="L47" s="6">
        <f t="shared" si="14"/>
        <v>-24</v>
      </c>
      <c r="M47" s="6">
        <f t="shared" si="15"/>
        <v>6</v>
      </c>
    </row>
    <row r="48" spans="1:13">
      <c r="B48" s="114">
        <v>8</v>
      </c>
      <c r="C48" s="6">
        <f t="shared" si="8"/>
        <v>-10</v>
      </c>
      <c r="D48" s="6">
        <f t="shared" si="9"/>
        <v>-28</v>
      </c>
      <c r="E48" s="114">
        <v>8</v>
      </c>
      <c r="F48" s="6">
        <f t="shared" si="10"/>
        <v>-20</v>
      </c>
      <c r="G48" s="6">
        <f t="shared" si="11"/>
        <v>-52</v>
      </c>
      <c r="H48" s="114">
        <v>8</v>
      </c>
      <c r="I48" s="6">
        <f t="shared" si="12"/>
        <v>-38</v>
      </c>
      <c r="J48" s="6">
        <f t="shared" si="13"/>
        <v>-84</v>
      </c>
      <c r="K48" s="114">
        <v>8</v>
      </c>
      <c r="L48" s="6">
        <f t="shared" si="14"/>
        <v>-29</v>
      </c>
      <c r="M48" s="6">
        <f t="shared" si="15"/>
        <v>4</v>
      </c>
    </row>
    <row r="49" spans="1:13" ht="16.149999999999999" customHeight="1">
      <c r="B49" s="114" t="s">
        <v>849</v>
      </c>
      <c r="C49" s="109">
        <f>COUNTIF(C40:C48,"&gt;0")</f>
        <v>5</v>
      </c>
      <c r="D49" s="109">
        <f>COUNTIF(D40:D48,"&gt;0")</f>
        <v>4</v>
      </c>
      <c r="E49" s="115" t="s">
        <v>849</v>
      </c>
      <c r="F49" s="109">
        <f>COUNTIF(F40:F48,"&gt;0")</f>
        <v>3</v>
      </c>
      <c r="G49" s="109">
        <f>COUNTIF(G40:G48,"&gt;0")</f>
        <v>3</v>
      </c>
      <c r="H49" s="115" t="s">
        <v>849</v>
      </c>
      <c r="I49" s="109">
        <f>COUNTIF(I40:I48,"&gt;0")</f>
        <v>2</v>
      </c>
      <c r="J49" s="109">
        <f>COUNTIF(J40:J48,"&gt;0")</f>
        <v>2</v>
      </c>
      <c r="K49" s="115" t="s">
        <v>849</v>
      </c>
      <c r="L49" s="109">
        <f>COUNTIF(L40:L48,"&gt;0")</f>
        <v>3</v>
      </c>
      <c r="M49" s="109">
        <f>COUNTIF(M40:M48,"&gt;0")</f>
        <v>9</v>
      </c>
    </row>
    <row r="50" spans="1:13" ht="16.149999999999999" customHeight="1">
      <c r="B50" s="115" t="s">
        <v>752</v>
      </c>
      <c r="C50" s="76" t="str">
        <f>IF(C49&gt;=D49,"승","패")</f>
        <v>승</v>
      </c>
      <c r="D50" s="76" t="str">
        <f>IF(C49&gt;=D49,"패","승")</f>
        <v>패</v>
      </c>
      <c r="E50" s="115" t="s">
        <v>752</v>
      </c>
      <c r="F50" s="76" t="str">
        <f>IF(F49&gt;=G49,"승","패")</f>
        <v>승</v>
      </c>
      <c r="G50" s="76" t="str">
        <f>IF(F49&gt;=G49,"패","승")</f>
        <v>패</v>
      </c>
      <c r="H50" s="115" t="s">
        <v>752</v>
      </c>
      <c r="I50" s="76" t="str">
        <f>IF(I49&gt;=J49,"승","패")</f>
        <v>승</v>
      </c>
      <c r="J50" s="76" t="str">
        <f>IF(I49&gt;=J49,"패","승")</f>
        <v>패</v>
      </c>
      <c r="K50" s="115" t="s">
        <v>752</v>
      </c>
      <c r="L50" s="76" t="str">
        <f>IF(L49&gt;=M49,"승","패")</f>
        <v>패</v>
      </c>
      <c r="M50" s="76" t="str">
        <f>IF(L49&gt;=M49,"패","승")</f>
        <v>승</v>
      </c>
    </row>
    <row r="51" spans="1:13" ht="16.149999999999999" customHeight="1">
      <c r="B51" s="115" t="s">
        <v>850</v>
      </c>
      <c r="C51" s="109">
        <f>IF(C50="승",D49,"")</f>
        <v>4</v>
      </c>
      <c r="D51" s="109" t="str">
        <f>IF(D50="승",C49,"")</f>
        <v/>
      </c>
      <c r="E51" s="115" t="s">
        <v>850</v>
      </c>
      <c r="F51" s="109">
        <f>IF(F50="승",G49,"")</f>
        <v>3</v>
      </c>
      <c r="G51" s="109" t="str">
        <f>IF(G50="승",F49,"")</f>
        <v/>
      </c>
      <c r="H51" s="115" t="s">
        <v>850</v>
      </c>
      <c r="I51" s="109">
        <f>IF(I50="승",J49,"")</f>
        <v>2</v>
      </c>
      <c r="J51" s="109" t="str">
        <f>IF(J50="승",I49,"")</f>
        <v/>
      </c>
      <c r="K51" s="115" t="s">
        <v>850</v>
      </c>
      <c r="L51" s="109" t="str">
        <f>IF(L50="승",M49,"")</f>
        <v/>
      </c>
      <c r="M51" s="109">
        <f>IF(M50="승",L49,"")</f>
        <v>3</v>
      </c>
    </row>
    <row r="52" spans="1:13" ht="16.149999999999999" customHeight="1">
      <c r="B52" s="115" t="s">
        <v>851</v>
      </c>
      <c r="C52" s="109">
        <f>IF(C50="승",
C40-INDEX($C$32:$F$35,
MATCH(C$38,$B$32:$B$35,0),
MATCH(D$38,$C$31:$F$31,0))*(D49-1),
0
)</f>
        <v>5</v>
      </c>
      <c r="D52" s="109">
        <f>IF(D50="승",
D40-INDEX($C$27:$F$30,
MATCH(D$38,$B$27:$B$30,0),
MATCH(C$38,$C$26:$F$26,0))*(C49-1),
0
)</f>
        <v>0</v>
      </c>
      <c r="E52" s="115" t="s">
        <v>851</v>
      </c>
      <c r="F52" s="109">
        <f>IF(F50="승",
F40-INDEX($C$32:$F$35,
MATCH(F$38,$B$32:$B$35,0),
MATCH(G$38,$C$31:$F$31,0))*(G49-1),
0
)</f>
        <v>4</v>
      </c>
      <c r="G52" s="109">
        <f>IF(G50="승",
G40-INDEX($C$27:$F$30,
MATCH(G$38,$B$27:$B$30,0),
MATCH(F$38,$C$26:$F$26,0))*(F49-1),
0
)</f>
        <v>0</v>
      </c>
      <c r="H52" s="115" t="s">
        <v>851</v>
      </c>
      <c r="I52" s="109">
        <f>IF(I50="승",
I40-INDEX($C$32:$F$35,
MATCH(I$38,$B$32:$B$35,0),
MATCH(J$38,$C$31:$F$31,0))*(J49-1),
0
)</f>
        <v>4</v>
      </c>
      <c r="J52" s="109">
        <f>IF(J50="승",
J40-INDEX($C$27:$F$30,
MATCH(J$38,$B$27:$B$30,0),
MATCH(I$38,$C$26:$F$26,0))*(I49-1),
0
)</f>
        <v>0</v>
      </c>
      <c r="K52" s="115" t="s">
        <v>851</v>
      </c>
      <c r="L52" s="109">
        <f>IF(L50="승",
L40-INDEX($C$32:$F$35,
MATCH(L$38,$B$32:$B$35,0),
MATCH(M$38,$C$31:$F$31,0))*(M49-1),
0
)</f>
        <v>0</v>
      </c>
      <c r="M52" s="109">
        <f>IF(M50="승",
M40-INDEX($C$27:$F$30,
MATCH(M$38,$B$27:$B$30,0),
MATCH(L$38,$C$26:$F$26,0))*(L49-1),
0
)</f>
        <v>16</v>
      </c>
    </row>
    <row r="53" spans="1:13" ht="16.149999999999999" customHeight="1"/>
    <row r="54" spans="1:13" ht="36">
      <c r="A54" s="64" t="s">
        <v>812</v>
      </c>
    </row>
    <row r="55" spans="1:13">
      <c r="B55" s="14" t="s">
        <v>861</v>
      </c>
      <c r="C55" s="14" t="s">
        <v>813</v>
      </c>
    </row>
    <row r="72" spans="2:3">
      <c r="B72" s="14" t="s">
        <v>864</v>
      </c>
      <c r="C72" s="14" t="s">
        <v>848</v>
      </c>
    </row>
    <row r="89" spans="2:3">
      <c r="B89" s="14" t="s">
        <v>865</v>
      </c>
      <c r="C89" s="14" t="s">
        <v>814</v>
      </c>
    </row>
    <row r="107" spans="1:7" ht="36">
      <c r="A107" s="64" t="s">
        <v>884</v>
      </c>
    </row>
    <row r="108" spans="1:7">
      <c r="B108" s="122"/>
      <c r="C108" s="122" t="s">
        <v>867</v>
      </c>
      <c r="D108" s="122" t="s">
        <v>868</v>
      </c>
      <c r="E108" s="122" t="s">
        <v>869</v>
      </c>
      <c r="F108" s="122" t="s">
        <v>857</v>
      </c>
      <c r="G108" s="122" t="s">
        <v>858</v>
      </c>
    </row>
    <row r="109" spans="1:7">
      <c r="B109" s="122" t="s">
        <v>853</v>
      </c>
      <c r="C109" s="6">
        <f>SUM(G14:G17)</f>
        <v>47</v>
      </c>
      <c r="D109" s="6">
        <f>SUM(H14:H17)</f>
        <v>77</v>
      </c>
      <c r="E109" s="6">
        <f>SUM(I14:I17)</f>
        <v>30</v>
      </c>
      <c r="F109" s="6">
        <f>SUM(F14:F17)</f>
        <v>400</v>
      </c>
      <c r="G109" s="6">
        <f>MAX(ROUND((D109-E110)*(F109/400),0),B113)</f>
        <v>29</v>
      </c>
    </row>
    <row r="110" spans="1:7">
      <c r="B110" s="122" t="s">
        <v>854</v>
      </c>
      <c r="C110" s="6">
        <f>SUM(G18:G21)</f>
        <v>80</v>
      </c>
      <c r="D110" s="6">
        <f>SUM(H18:H21)</f>
        <v>48</v>
      </c>
      <c r="E110" s="6">
        <f>SUM(I18:I21)</f>
        <v>48</v>
      </c>
      <c r="F110" s="134"/>
      <c r="G110" s="6">
        <f>MAX(ROUND(D110-E109,0),B113)</f>
        <v>18</v>
      </c>
    </row>
    <row r="112" spans="1:7">
      <c r="B112" s="122" t="s">
        <v>341</v>
      </c>
    </row>
    <row r="113" spans="2:9">
      <c r="B113" s="44">
        <v>12</v>
      </c>
      <c r="C113" s="122" t="s">
        <v>855</v>
      </c>
      <c r="D113" s="122" t="s">
        <v>856</v>
      </c>
    </row>
    <row r="114" spans="2:9">
      <c r="B114" s="122" t="s">
        <v>789</v>
      </c>
      <c r="C114" s="122">
        <f>C109</f>
        <v>47</v>
      </c>
      <c r="D114" s="122">
        <f>C110</f>
        <v>80</v>
      </c>
    </row>
    <row r="115" spans="2:9">
      <c r="B115" s="122">
        <v>1</v>
      </c>
      <c r="C115" s="6">
        <f>C114-$G$110</f>
        <v>29</v>
      </c>
      <c r="D115" s="6">
        <f>D114-$G$109</f>
        <v>51</v>
      </c>
    </row>
    <row r="116" spans="2:9">
      <c r="B116" s="122">
        <v>2</v>
      </c>
      <c r="C116" s="6">
        <f t="shared" ref="C116" si="16">C115-$G$110</f>
        <v>11</v>
      </c>
      <c r="D116" s="6">
        <f t="shared" ref="D116" si="17">D115-$G$109</f>
        <v>22</v>
      </c>
    </row>
    <row r="117" spans="2:9">
      <c r="B117" s="122">
        <v>3</v>
      </c>
      <c r="C117" s="6">
        <f>C116-$G$110</f>
        <v>-7</v>
      </c>
      <c r="D117" s="6">
        <f>D116-$G$109</f>
        <v>-7</v>
      </c>
      <c r="I117" s="136"/>
    </row>
    <row r="118" spans="2:9">
      <c r="B118" s="122">
        <v>4</v>
      </c>
      <c r="C118" s="6">
        <f>C117-$G$110</f>
        <v>-25</v>
      </c>
      <c r="D118" s="6">
        <f>D117-$G$109</f>
        <v>-36</v>
      </c>
      <c r="I118" s="136"/>
    </row>
    <row r="119" spans="2:9">
      <c r="B119" s="122">
        <v>5</v>
      </c>
      <c r="C119" s="6">
        <f>C118-$G$110</f>
        <v>-43</v>
      </c>
      <c r="D119" s="6">
        <f>D118-$G$109</f>
        <v>-65</v>
      </c>
    </row>
    <row r="120" spans="2:9">
      <c r="B120" s="122">
        <v>6</v>
      </c>
      <c r="C120" s="6">
        <f>C119-$G$110</f>
        <v>-61</v>
      </c>
      <c r="D120" s="6">
        <f>D119-$G$109</f>
        <v>-94</v>
      </c>
    </row>
    <row r="121" spans="2:9">
      <c r="B121" s="122" t="s">
        <v>849</v>
      </c>
      <c r="C121" s="109">
        <f>COUNTIF(C114:C120,"&gt;0")</f>
        <v>3</v>
      </c>
      <c r="D121" s="109">
        <f>COUNTIF(D114:D120,"&gt;0")</f>
        <v>3</v>
      </c>
    </row>
    <row r="122" spans="2:9">
      <c r="B122" s="122" t="s">
        <v>752</v>
      </c>
      <c r="C122" s="76" t="str">
        <f>IF(C121&gt;=D121,"승","패")</f>
        <v>승</v>
      </c>
      <c r="D122" s="76" t="str">
        <f>IF(C121&gt;=D121,"패","승")</f>
        <v>패</v>
      </c>
    </row>
    <row r="123" spans="2:9">
      <c r="B123" s="122" t="s">
        <v>850</v>
      </c>
      <c r="C123" s="109">
        <f>IF(C122="승",D121,"")</f>
        <v>3</v>
      </c>
      <c r="D123" s="109" t="str">
        <f>IF(D122="승",C121,"")</f>
        <v/>
      </c>
    </row>
    <row r="124" spans="2:9">
      <c r="B124" s="122" t="s">
        <v>851</v>
      </c>
      <c r="C124" s="109">
        <f>IF(C122="승",C114-G110*(D121-1), 0)</f>
        <v>11</v>
      </c>
      <c r="D124" s="109">
        <f>IF(D122="승",
D115-G109*(C121-1),
0
)</f>
        <v>0</v>
      </c>
    </row>
    <row r="146" spans="2:7">
      <c r="B146" s="14" t="s">
        <v>861</v>
      </c>
      <c r="E146" s="14" t="s">
        <v>863</v>
      </c>
    </row>
    <row r="147" spans="2:7">
      <c r="B147" s="14" t="s">
        <v>859</v>
      </c>
      <c r="C147" s="122" t="s">
        <v>855</v>
      </c>
      <c r="D147" s="14" t="s">
        <v>860</v>
      </c>
    </row>
    <row r="148" spans="2:7">
      <c r="C148" s="14" t="s">
        <v>862</v>
      </c>
      <c r="E148" s="14" t="s">
        <v>862</v>
      </c>
    </row>
    <row r="149" spans="2:7">
      <c r="C149" s="14">
        <f>SUM(4,2,3,2)</f>
        <v>11</v>
      </c>
      <c r="E149" s="14">
        <v>10</v>
      </c>
      <c r="G149" s="136">
        <f>E149/C149</f>
        <v>0.90909090909090906</v>
      </c>
    </row>
    <row r="150" spans="2:7">
      <c r="G150" s="136"/>
    </row>
    <row r="151" spans="2:7">
      <c r="B151" s="14" t="s">
        <v>864</v>
      </c>
      <c r="C151" s="122" t="s">
        <v>855</v>
      </c>
      <c r="D151" s="14" t="s">
        <v>860</v>
      </c>
      <c r="G151" s="136"/>
    </row>
    <row r="152" spans="2:7">
      <c r="C152" s="14" t="s">
        <v>862</v>
      </c>
      <c r="E152" s="14" t="s">
        <v>862</v>
      </c>
      <c r="G152" s="136"/>
    </row>
    <row r="153" spans="2:7">
      <c r="C153" s="14">
        <v>17</v>
      </c>
      <c r="E153" s="14">
        <v>18</v>
      </c>
      <c r="G153" s="136">
        <f t="shared" ref="G153" si="18">E153/C153</f>
        <v>1.0588235294117647</v>
      </c>
    </row>
    <row r="155" spans="2:7">
      <c r="B155" s="14" t="s">
        <v>865</v>
      </c>
      <c r="C155" s="122" t="s">
        <v>855</v>
      </c>
      <c r="E155" s="14" t="s">
        <v>862</v>
      </c>
    </row>
    <row r="156" spans="2:7">
      <c r="C156" s="14" t="s">
        <v>862</v>
      </c>
      <c r="E156" s="14">
        <v>13</v>
      </c>
      <c r="G156" s="136">
        <f>E156/C157</f>
        <v>0.65</v>
      </c>
    </row>
    <row r="157" spans="2:7">
      <c r="C157" s="14">
        <v>20</v>
      </c>
    </row>
  </sheetData>
  <mergeCells count="4">
    <mergeCell ref="B3:I3"/>
    <mergeCell ref="B6:I6"/>
    <mergeCell ref="B9:B12"/>
    <mergeCell ref="G12:M12"/>
  </mergeCells>
  <phoneticPr fontId="4" type="noConversion"/>
  <conditionalFormatting sqref="C32:D35 C27:D30 D36:D37">
    <cfRule type="cellIs" dxfId="43" priority="71" operator="lessThan">
      <formula>0</formula>
    </cfRule>
  </conditionalFormatting>
  <conditionalFormatting sqref="B41:D41 B42:B46 C42:D48">
    <cfRule type="cellIs" dxfId="42" priority="70" operator="lessThanOrEqual">
      <formula>0</formula>
    </cfRule>
  </conditionalFormatting>
  <conditionalFormatting sqref="E41:E46">
    <cfRule type="cellIs" dxfId="41" priority="48" operator="lessThan">
      <formula>0</formula>
    </cfRule>
  </conditionalFormatting>
  <conditionalFormatting sqref="H41:H46">
    <cfRule type="cellIs" dxfId="40" priority="47" operator="lessThan">
      <formula>0</formula>
    </cfRule>
  </conditionalFormatting>
  <conditionalFormatting sqref="K41:K46">
    <cfRule type="cellIs" dxfId="39" priority="46" operator="lessThan">
      <formula>0</formula>
    </cfRule>
  </conditionalFormatting>
  <conditionalFormatting sqref="C49:D49">
    <cfRule type="cellIs" dxfId="38" priority="45" operator="lessThan">
      <formula>0</formula>
    </cfRule>
  </conditionalFormatting>
  <conditionalFormatting sqref="F49:G49">
    <cfRule type="cellIs" dxfId="37" priority="41" operator="lessThan">
      <formula>0</formula>
    </cfRule>
  </conditionalFormatting>
  <conditionalFormatting sqref="I49:J49">
    <cfRule type="cellIs" dxfId="36" priority="40" operator="lessThan">
      <formula>0</formula>
    </cfRule>
  </conditionalFormatting>
  <conditionalFormatting sqref="L49:M49">
    <cfRule type="cellIs" dxfId="35" priority="39" operator="lessThan">
      <formula>0</formula>
    </cfRule>
  </conditionalFormatting>
  <conditionalFormatting sqref="F41:G48">
    <cfRule type="cellIs" dxfId="34" priority="38" operator="lessThanOrEqual">
      <formula>0</formula>
    </cfRule>
  </conditionalFormatting>
  <conditionalFormatting sqref="I41:J48">
    <cfRule type="cellIs" dxfId="33" priority="37" operator="lessThanOrEqual">
      <formula>0</formula>
    </cfRule>
  </conditionalFormatting>
  <conditionalFormatting sqref="L41:M48">
    <cfRule type="cellIs" dxfId="32" priority="36" operator="lessThanOrEqual">
      <formula>0</formula>
    </cfRule>
  </conditionalFormatting>
  <conditionalFormatting sqref="C50">
    <cfRule type="expression" dxfId="31" priority="34">
      <formula>C50="패"</formula>
    </cfRule>
    <cfRule type="expression" dxfId="30" priority="35">
      <formula>C50="승"</formula>
    </cfRule>
  </conditionalFormatting>
  <conditionalFormatting sqref="D50">
    <cfRule type="expression" dxfId="29" priority="32">
      <formula>D50="패"</formula>
    </cfRule>
    <cfRule type="expression" dxfId="28" priority="33">
      <formula>D50="승"</formula>
    </cfRule>
  </conditionalFormatting>
  <conditionalFormatting sqref="C52:D52">
    <cfRule type="cellIs" dxfId="27" priority="31" operator="lessThan">
      <formula>0</formula>
    </cfRule>
  </conditionalFormatting>
  <conditionalFormatting sqref="F50">
    <cfRule type="expression" dxfId="26" priority="29">
      <formula>F50="패"</formula>
    </cfRule>
    <cfRule type="expression" dxfId="25" priority="30">
      <formula>F50="승"</formula>
    </cfRule>
  </conditionalFormatting>
  <conditionalFormatting sqref="G50">
    <cfRule type="expression" dxfId="24" priority="27">
      <formula>G50="패"</formula>
    </cfRule>
    <cfRule type="expression" dxfId="23" priority="28">
      <formula>G50="승"</formula>
    </cfRule>
  </conditionalFormatting>
  <conditionalFormatting sqref="F52:G52">
    <cfRule type="cellIs" dxfId="22" priority="26" operator="lessThan">
      <formula>0</formula>
    </cfRule>
  </conditionalFormatting>
  <conditionalFormatting sqref="I50">
    <cfRule type="expression" dxfId="21" priority="24">
      <formula>I50="패"</formula>
    </cfRule>
    <cfRule type="expression" dxfId="20" priority="25">
      <formula>I50="승"</formula>
    </cfRule>
  </conditionalFormatting>
  <conditionalFormatting sqref="J50">
    <cfRule type="expression" dxfId="19" priority="22">
      <formula>J50="패"</formula>
    </cfRule>
    <cfRule type="expression" dxfId="18" priority="23">
      <formula>J50="승"</formula>
    </cfRule>
  </conditionalFormatting>
  <conditionalFormatting sqref="I52:J52">
    <cfRule type="cellIs" dxfId="17" priority="21" operator="lessThan">
      <formula>0</formula>
    </cfRule>
  </conditionalFormatting>
  <conditionalFormatting sqref="L50">
    <cfRule type="expression" dxfId="16" priority="19">
      <formula>L50="패"</formula>
    </cfRule>
    <cfRule type="expression" dxfId="15" priority="20">
      <formula>L50="승"</formula>
    </cfRule>
  </conditionalFormatting>
  <conditionalFormatting sqref="M50">
    <cfRule type="expression" dxfId="14" priority="17">
      <formula>M50="패"</formula>
    </cfRule>
    <cfRule type="expression" dxfId="13" priority="18">
      <formula>M50="승"</formula>
    </cfRule>
  </conditionalFormatting>
  <conditionalFormatting sqref="L52:M52">
    <cfRule type="cellIs" dxfId="12" priority="16" operator="lessThan">
      <formula>0</formula>
    </cfRule>
  </conditionalFormatting>
  <conditionalFormatting sqref="C51:D51">
    <cfRule type="cellIs" dxfId="11" priority="15" operator="lessThan">
      <formula>0</formula>
    </cfRule>
  </conditionalFormatting>
  <conditionalFormatting sqref="F51:G51">
    <cfRule type="cellIs" dxfId="10" priority="11" operator="lessThan">
      <formula>0</formula>
    </cfRule>
  </conditionalFormatting>
  <conditionalFormatting sqref="I51:J51">
    <cfRule type="cellIs" dxfId="9" priority="10" operator="lessThan">
      <formula>0</formula>
    </cfRule>
  </conditionalFormatting>
  <conditionalFormatting sqref="L51:M51">
    <cfRule type="cellIs" dxfId="8" priority="9" operator="lessThan">
      <formula>0</formula>
    </cfRule>
  </conditionalFormatting>
  <conditionalFormatting sqref="B115:D120">
    <cfRule type="cellIs" dxfId="7" priority="8" operator="lessThanOrEqual">
      <formula>0</formula>
    </cfRule>
  </conditionalFormatting>
  <conditionalFormatting sqref="C121:D121">
    <cfRule type="cellIs" dxfId="6" priority="7" operator="lessThan">
      <formula>0</formula>
    </cfRule>
  </conditionalFormatting>
  <conditionalFormatting sqref="C122">
    <cfRule type="expression" dxfId="5" priority="5">
      <formula>C122="패"</formula>
    </cfRule>
    <cfRule type="expression" dxfId="4" priority="6">
      <formula>C122="승"</formula>
    </cfRule>
  </conditionalFormatting>
  <conditionalFormatting sqref="D122">
    <cfRule type="expression" dxfId="3" priority="3">
      <formula>D122="패"</formula>
    </cfRule>
    <cfRule type="expression" dxfId="2" priority="4">
      <formula>D122="승"</formula>
    </cfRule>
  </conditionalFormatting>
  <conditionalFormatting sqref="C124:D124">
    <cfRule type="cellIs" dxfId="1" priority="2" operator="lessThan">
      <formula>0</formula>
    </cfRule>
  </conditionalFormatting>
  <conditionalFormatting sqref="C123:D123">
    <cfRule type="cellIs" dxfId="0" priority="1" operator="lessThan">
      <formula>0</formula>
    </cfRule>
  </conditionalFormatting>
  <dataValidations count="5">
    <dataValidation type="whole" operator="lessThan" allowBlank="1" showInputMessage="1" showErrorMessage="1" sqref="F14:F17" xr:uid="{985E5AA9-48B0-4020-B994-57AE8E207100}">
      <formula1>E14</formula1>
    </dataValidation>
    <dataValidation type="list" allowBlank="1" showInputMessage="1" showErrorMessage="1" sqref="N14:N21" xr:uid="{C2652B73-C036-49CE-930A-4212BBCA8B37}">
      <formula1>"0.8,1.0,1.2,1.5"</formula1>
    </dataValidation>
    <dataValidation type="list" allowBlank="1" showInputMessage="1" showErrorMessage="1" sqref="D14:D17" xr:uid="{9546EF9E-EED8-4FCA-8B38-027D68942325}">
      <formula1>"1,2,3,4,5,6,7,8,9,10,11,12,13,14,15"</formula1>
    </dataValidation>
    <dataValidation type="list" allowBlank="1" showInputMessage="1" showErrorMessage="1" sqref="I38 C38 F38 L38" xr:uid="{A11A2709-DAD4-4CD6-937F-BD63DB0A5AB7}">
      <formula1>$B$14:$B$17</formula1>
    </dataValidation>
    <dataValidation type="list" allowBlank="1" showInputMessage="1" showErrorMessage="1" sqref="J38 G38 D38 M38" xr:uid="{86CDB387-FFC6-4056-865A-3A1773380790}">
      <formula1>$B$18:$B$21</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E94878E-4F6B-4F0F-8857-1BC53E64A2AD}">
          <x14:formula1>
            <xm:f>'적군 유닛'!$C$6:$C$8</xm:f>
          </x14:formula1>
          <xm:sqref>C18:C21</xm:sqref>
        </x14:dataValidation>
        <x14:dataValidation type="list" allowBlank="1" showInputMessage="1" showErrorMessage="1" xr:uid="{E49C7479-CC04-4187-95DA-1C6436D710ED}">
          <x14:formula1>
            <xm:f>'아군 유닛'!$C$6:$C$9</xm:f>
          </x14:formula1>
          <xm:sqref>C14:C17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5FEE4-21A1-4154-AD7B-B10130C505EE}">
  <dimension ref="A2:K100"/>
  <sheetViews>
    <sheetView zoomScale="85" zoomScaleNormal="85" workbookViewId="0">
      <selection activeCell="A2" sqref="A2"/>
    </sheetView>
  </sheetViews>
  <sheetFormatPr defaultColWidth="8.6640625" defaultRowHeight="17"/>
  <cols>
    <col min="1" max="1" width="8.6640625" style="14"/>
    <col min="2" max="2" width="25" style="14" customWidth="1"/>
    <col min="3" max="3" width="22.5" style="14" bestFit="1" customWidth="1"/>
    <col min="4" max="13" width="20.58203125" style="14" customWidth="1"/>
    <col min="14" max="14" width="17.75" style="14" bestFit="1" customWidth="1"/>
    <col min="15" max="15" width="18" style="14" bestFit="1" customWidth="1"/>
    <col min="16" max="16384" width="8.6640625" style="14"/>
  </cols>
  <sheetData>
    <row r="2" spans="1:9" ht="36">
      <c r="A2" s="64" t="s">
        <v>852</v>
      </c>
    </row>
    <row r="3" spans="1:9" ht="33.5">
      <c r="B3" s="137" t="s">
        <v>866</v>
      </c>
    </row>
    <row r="4" spans="1:9" ht="116.75" customHeight="1">
      <c r="B4" s="143" t="s">
        <v>872</v>
      </c>
      <c r="C4" s="143"/>
      <c r="D4" s="143"/>
      <c r="E4" s="143"/>
      <c r="F4" s="143"/>
      <c r="G4" s="143"/>
      <c r="H4" s="143"/>
      <c r="I4" s="143"/>
    </row>
    <row r="6" spans="1:9" ht="149.65" customHeight="1">
      <c r="B6" s="143" t="s">
        <v>874</v>
      </c>
      <c r="C6" s="143"/>
      <c r="D6" s="143"/>
      <c r="E6" s="143"/>
      <c r="F6" s="143"/>
      <c r="G6" s="143"/>
      <c r="H6" s="143"/>
      <c r="I6" s="143"/>
    </row>
    <row r="8" spans="1:9">
      <c r="B8" s="132" t="s">
        <v>871</v>
      </c>
    </row>
    <row r="9" spans="1:9">
      <c r="B9" s="122"/>
      <c r="C9" s="122" t="s">
        <v>391</v>
      </c>
      <c r="D9" s="122" t="s">
        <v>392</v>
      </c>
      <c r="E9" s="121" t="s">
        <v>751</v>
      </c>
      <c r="F9" s="122" t="s">
        <v>323</v>
      </c>
      <c r="G9" s="122" t="s">
        <v>321</v>
      </c>
      <c r="H9" s="122" t="s">
        <v>322</v>
      </c>
      <c r="I9" s="122" t="s">
        <v>858</v>
      </c>
    </row>
    <row r="10" spans="1:9">
      <c r="B10" s="122" t="s">
        <v>772</v>
      </c>
      <c r="C10" s="44" t="s">
        <v>806</v>
      </c>
      <c r="D10" s="44">
        <v>1</v>
      </c>
      <c r="E10" s="120">
        <v>100</v>
      </c>
      <c r="F10" s="118">
        <v>6</v>
      </c>
      <c r="G10" s="118">
        <v>10</v>
      </c>
      <c r="H10" s="118">
        <v>5</v>
      </c>
      <c r="I10" s="138"/>
    </row>
    <row r="11" spans="1:9">
      <c r="B11" s="122" t="s">
        <v>773</v>
      </c>
      <c r="C11" s="44" t="s">
        <v>807</v>
      </c>
      <c r="D11" s="44">
        <v>1</v>
      </c>
      <c r="E11" s="120">
        <v>100</v>
      </c>
      <c r="F11" s="118">
        <v>4</v>
      </c>
      <c r="G11" s="118">
        <v>13</v>
      </c>
      <c r="H11" s="118">
        <v>4</v>
      </c>
      <c r="I11" s="138"/>
    </row>
    <row r="12" spans="1:9">
      <c r="B12" s="122" t="s">
        <v>774</v>
      </c>
      <c r="C12" s="44" t="s">
        <v>808</v>
      </c>
      <c r="D12" s="44">
        <v>1</v>
      </c>
      <c r="E12" s="120">
        <v>100</v>
      </c>
      <c r="F12" s="118">
        <v>6</v>
      </c>
      <c r="G12" s="118">
        <v>13</v>
      </c>
      <c r="H12" s="118">
        <v>2</v>
      </c>
      <c r="I12" s="138"/>
    </row>
    <row r="13" spans="1:9" ht="17.25" customHeight="1">
      <c r="B13" s="122" t="s">
        <v>775</v>
      </c>
      <c r="C13" s="44" t="s">
        <v>809</v>
      </c>
      <c r="D13" s="44">
        <v>1</v>
      </c>
      <c r="E13" s="120">
        <v>100</v>
      </c>
      <c r="F13" s="118">
        <v>6</v>
      </c>
      <c r="G13" s="118">
        <v>9</v>
      </c>
      <c r="H13" s="118">
        <v>6</v>
      </c>
      <c r="I13" s="138"/>
    </row>
    <row r="14" spans="1:9" ht="17.25" customHeight="1">
      <c r="B14" s="109"/>
      <c r="C14" s="109" t="s">
        <v>870</v>
      </c>
      <c r="D14" s="138"/>
      <c r="E14" s="138">
        <f>SUM(E10:E13)</f>
        <v>400</v>
      </c>
      <c r="F14" s="138">
        <f>SUM(F10:F13)</f>
        <v>22</v>
      </c>
      <c r="G14" s="138">
        <f>SUM(G10:G13)</f>
        <v>45</v>
      </c>
      <c r="H14" s="138">
        <f>SUM(H10:H13)</f>
        <v>17</v>
      </c>
      <c r="I14" s="138">
        <f>MAX(ROUND((G14-H19)*E14/400,0),12)</f>
        <v>25</v>
      </c>
    </row>
    <row r="15" spans="1:9">
      <c r="B15" s="122" t="s">
        <v>762</v>
      </c>
      <c r="C15" s="44" t="s">
        <v>470</v>
      </c>
      <c r="D15" s="68"/>
      <c r="E15" s="68"/>
      <c r="F15" s="38">
        <v>10</v>
      </c>
      <c r="G15" s="38">
        <v>5</v>
      </c>
      <c r="H15" s="38">
        <v>5</v>
      </c>
      <c r="I15" s="109"/>
    </row>
    <row r="16" spans="1:9">
      <c r="B16" s="122" t="s">
        <v>763</v>
      </c>
      <c r="C16" s="44" t="s">
        <v>470</v>
      </c>
      <c r="D16" s="68"/>
      <c r="E16" s="68"/>
      <c r="F16" s="38">
        <v>10</v>
      </c>
      <c r="G16" s="38">
        <v>5</v>
      </c>
      <c r="H16" s="38">
        <v>5</v>
      </c>
      <c r="I16" s="109"/>
    </row>
    <row r="17" spans="2:9">
      <c r="B17" s="122" t="s">
        <v>765</v>
      </c>
      <c r="C17" s="44" t="s">
        <v>470</v>
      </c>
      <c r="D17" s="68"/>
      <c r="E17" s="68"/>
      <c r="F17" s="38">
        <v>10</v>
      </c>
      <c r="G17" s="38">
        <v>5</v>
      </c>
      <c r="H17" s="38">
        <v>5</v>
      </c>
      <c r="I17" s="109"/>
    </row>
    <row r="18" spans="2:9">
      <c r="B18" s="122" t="s">
        <v>766</v>
      </c>
      <c r="C18" s="44" t="s">
        <v>470</v>
      </c>
      <c r="D18" s="68"/>
      <c r="E18" s="68"/>
      <c r="F18" s="38">
        <v>10</v>
      </c>
      <c r="G18" s="38">
        <v>5</v>
      </c>
      <c r="H18" s="38">
        <v>5</v>
      </c>
      <c r="I18" s="109"/>
    </row>
    <row r="19" spans="2:9">
      <c r="B19" s="109"/>
      <c r="C19" s="109" t="s">
        <v>870</v>
      </c>
      <c r="D19" s="109"/>
      <c r="E19" s="109"/>
      <c r="F19" s="109">
        <f>SUM(F15:F18)</f>
        <v>40</v>
      </c>
      <c r="G19" s="109">
        <f>SUM(G15:G18)</f>
        <v>20</v>
      </c>
      <c r="H19" s="109">
        <f>SUM(H15:H18)</f>
        <v>20</v>
      </c>
      <c r="I19" s="109">
        <f>MAX(ROUND(G19-H14,0),12)</f>
        <v>12</v>
      </c>
    </row>
    <row r="21" spans="2:9" ht="84.75" customHeight="1">
      <c r="B21" s="143" t="s">
        <v>873</v>
      </c>
      <c r="C21" s="143"/>
      <c r="D21" s="143"/>
      <c r="E21" s="143"/>
      <c r="F21" s="143"/>
      <c r="G21" s="143"/>
      <c r="H21" s="143"/>
      <c r="I21" s="143"/>
    </row>
    <row r="23" spans="2:9">
      <c r="B23" s="122"/>
      <c r="C23" s="122" t="s">
        <v>391</v>
      </c>
      <c r="D23" s="122" t="s">
        <v>392</v>
      </c>
      <c r="E23" s="121" t="s">
        <v>751</v>
      </c>
      <c r="F23" s="65" t="s">
        <v>323</v>
      </c>
      <c r="G23" s="65" t="s">
        <v>321</v>
      </c>
      <c r="H23" s="65" t="s">
        <v>322</v>
      </c>
      <c r="I23" s="122" t="s">
        <v>858</v>
      </c>
    </row>
    <row r="24" spans="2:9">
      <c r="B24" s="122" t="s">
        <v>772</v>
      </c>
      <c r="C24" s="44" t="s">
        <v>806</v>
      </c>
      <c r="D24" s="44">
        <v>3</v>
      </c>
      <c r="E24" s="120">
        <v>100</v>
      </c>
      <c r="F24" s="118">
        <v>14</v>
      </c>
      <c r="G24" s="118">
        <v>18</v>
      </c>
      <c r="H24" s="118">
        <v>9</v>
      </c>
      <c r="I24" s="138"/>
    </row>
    <row r="25" spans="2:9">
      <c r="B25" s="122" t="s">
        <v>773</v>
      </c>
      <c r="C25" s="44" t="s">
        <v>807</v>
      </c>
      <c r="D25" s="44">
        <v>3</v>
      </c>
      <c r="E25" s="120">
        <v>100</v>
      </c>
      <c r="F25" s="118">
        <v>12</v>
      </c>
      <c r="G25" s="118">
        <v>21</v>
      </c>
      <c r="H25" s="118">
        <v>8</v>
      </c>
      <c r="I25" s="138"/>
    </row>
    <row r="26" spans="2:9">
      <c r="B26" s="122" t="s">
        <v>774</v>
      </c>
      <c r="C26" s="44" t="s">
        <v>808</v>
      </c>
      <c r="D26" s="44">
        <v>3</v>
      </c>
      <c r="E26" s="120">
        <v>100</v>
      </c>
      <c r="F26" s="118">
        <v>10</v>
      </c>
      <c r="G26" s="118">
        <v>25</v>
      </c>
      <c r="H26" s="118">
        <v>6</v>
      </c>
      <c r="I26" s="138"/>
    </row>
    <row r="27" spans="2:9">
      <c r="B27" s="122" t="s">
        <v>775</v>
      </c>
      <c r="C27" s="44" t="s">
        <v>809</v>
      </c>
      <c r="D27" s="44">
        <v>2</v>
      </c>
      <c r="E27" s="120">
        <v>100</v>
      </c>
      <c r="F27" s="118">
        <v>11</v>
      </c>
      <c r="G27" s="118">
        <v>13</v>
      </c>
      <c r="H27" s="118">
        <v>7</v>
      </c>
      <c r="I27" s="138"/>
    </row>
    <row r="28" spans="2:9">
      <c r="B28" s="109"/>
      <c r="C28" s="109" t="s">
        <v>870</v>
      </c>
      <c r="D28" s="138"/>
      <c r="E28" s="138">
        <f>SUM(E24:E27)</f>
        <v>400</v>
      </c>
      <c r="F28" s="138">
        <f>SUM(F24:F27)</f>
        <v>47</v>
      </c>
      <c r="G28" s="138">
        <f>SUM(G24:G27)</f>
        <v>77</v>
      </c>
      <c r="H28" s="138">
        <f>SUM(H24:H27)</f>
        <v>30</v>
      </c>
      <c r="I28" s="138">
        <f>MAX(ROUND((G28-H33)*E28/400,0),12)</f>
        <v>29</v>
      </c>
    </row>
    <row r="29" spans="2:9">
      <c r="B29" s="122" t="s">
        <v>762</v>
      </c>
      <c r="C29" s="44" t="s">
        <v>471</v>
      </c>
      <c r="D29" s="68"/>
      <c r="E29" s="68"/>
      <c r="F29" s="38">
        <f>IFERROR(VLOOKUP($C29,'적군 유닛'!$C$6:$K$8,COLUMN(A11)+2,FALSE),"")</f>
        <v>20</v>
      </c>
      <c r="G29" s="38">
        <f>IFERROR(VLOOKUP($C29,'적군 유닛'!$C$6:$K$8,COLUMN(B11)+2,FALSE),"")</f>
        <v>12</v>
      </c>
      <c r="H29" s="38">
        <f>IFERROR(VLOOKUP($C29,'적군 유닛'!$C$6:$K$8,COLUMN(C11)+2,FALSE),"")</f>
        <v>12</v>
      </c>
      <c r="I29" s="109"/>
    </row>
    <row r="30" spans="2:9">
      <c r="B30" s="122" t="s">
        <v>763</v>
      </c>
      <c r="C30" s="44" t="s">
        <v>471</v>
      </c>
      <c r="D30" s="68"/>
      <c r="E30" s="68"/>
      <c r="F30" s="38">
        <f>IFERROR(VLOOKUP($C30,'적군 유닛'!$C$6:$K$8,COLUMN(A12)+2,FALSE),"")</f>
        <v>20</v>
      </c>
      <c r="G30" s="38">
        <f>IFERROR(VLOOKUP($C30,'적군 유닛'!$C$6:$K$8,COLUMN(B12)+2,FALSE),"")</f>
        <v>12</v>
      </c>
      <c r="H30" s="38">
        <f>IFERROR(VLOOKUP($C30,'적군 유닛'!$C$6:$K$8,COLUMN(C12)+2,FALSE),"")</f>
        <v>12</v>
      </c>
      <c r="I30" s="109"/>
    </row>
    <row r="31" spans="2:9">
      <c r="B31" s="122" t="s">
        <v>765</v>
      </c>
      <c r="C31" s="44" t="s">
        <v>471</v>
      </c>
      <c r="D31" s="68"/>
      <c r="E31" s="68"/>
      <c r="F31" s="38">
        <f>IFERROR(VLOOKUP($C31,'적군 유닛'!$C$6:$K$8,COLUMN(A13)+2,FALSE),"")</f>
        <v>20</v>
      </c>
      <c r="G31" s="38">
        <f>IFERROR(VLOOKUP($C31,'적군 유닛'!$C$6:$K$8,COLUMN(B13)+2,FALSE),"")</f>
        <v>12</v>
      </c>
      <c r="H31" s="38">
        <f>IFERROR(VLOOKUP($C31,'적군 유닛'!$C$6:$K$8,COLUMN(C13)+2,FALSE),"")</f>
        <v>12</v>
      </c>
      <c r="I31" s="109"/>
    </row>
    <row r="32" spans="2:9">
      <c r="B32" s="122" t="s">
        <v>766</v>
      </c>
      <c r="C32" s="44" t="s">
        <v>471</v>
      </c>
      <c r="D32" s="68"/>
      <c r="E32" s="68"/>
      <c r="F32" s="38">
        <f>IFERROR(VLOOKUP($C32,'적군 유닛'!$C$6:$K$8,COLUMN(A14)+2,FALSE),"")</f>
        <v>20</v>
      </c>
      <c r="G32" s="38">
        <f>IFERROR(VLOOKUP($C32,'적군 유닛'!$C$6:$K$8,COLUMN(B14)+2,FALSE),"")</f>
        <v>12</v>
      </c>
      <c r="H32" s="38">
        <f>IFERROR(VLOOKUP($C32,'적군 유닛'!$C$6:$K$8,COLUMN(C14)+2,FALSE),"")</f>
        <v>12</v>
      </c>
      <c r="I32" s="109"/>
    </row>
    <row r="33" spans="2:9">
      <c r="B33" s="109"/>
      <c r="C33" s="109" t="s">
        <v>870</v>
      </c>
      <c r="D33" s="109"/>
      <c r="E33" s="109"/>
      <c r="F33" s="109">
        <f>SUM(F29:F32)</f>
        <v>80</v>
      </c>
      <c r="G33" s="109">
        <f>SUM(G29:G32)</f>
        <v>48</v>
      </c>
      <c r="H33" s="109">
        <f>SUM(H29:H32)</f>
        <v>48</v>
      </c>
      <c r="I33" s="109">
        <f>MAX(ROUND(G33-H28,0),12)</f>
        <v>18</v>
      </c>
    </row>
    <row r="34" spans="2:9" ht="25.5">
      <c r="B34" s="133"/>
      <c r="C34" s="135"/>
    </row>
    <row r="35" spans="2:9" ht="86.65" customHeight="1">
      <c r="B35" s="143" t="s">
        <v>876</v>
      </c>
      <c r="C35" s="143"/>
      <c r="D35" s="143"/>
      <c r="E35" s="143"/>
      <c r="F35" s="143"/>
      <c r="G35" s="143"/>
      <c r="H35" s="143"/>
      <c r="I35" s="143"/>
    </row>
    <row r="36" spans="2:9" ht="25.5">
      <c r="B36" s="133"/>
      <c r="C36" s="135"/>
    </row>
    <row r="37" spans="2:9">
      <c r="B37" s="122"/>
      <c r="C37" s="122" t="s">
        <v>391</v>
      </c>
      <c r="D37" s="122" t="s">
        <v>392</v>
      </c>
      <c r="E37" s="121" t="s">
        <v>751</v>
      </c>
      <c r="F37" s="65" t="s">
        <v>323</v>
      </c>
      <c r="G37" s="65" t="s">
        <v>321</v>
      </c>
      <c r="H37" s="65" t="s">
        <v>322</v>
      </c>
      <c r="I37" s="122" t="s">
        <v>858</v>
      </c>
    </row>
    <row r="38" spans="2:9">
      <c r="B38" s="122" t="s">
        <v>772</v>
      </c>
      <c r="C38" s="44" t="s">
        <v>806</v>
      </c>
      <c r="D38" s="44">
        <v>2</v>
      </c>
      <c r="E38" s="120">
        <v>100</v>
      </c>
      <c r="F38" s="118">
        <v>10</v>
      </c>
      <c r="G38" s="118">
        <v>14</v>
      </c>
      <c r="H38" s="118">
        <v>7</v>
      </c>
      <c r="I38" s="138"/>
    </row>
    <row r="39" spans="2:9">
      <c r="B39" s="122" t="s">
        <v>773</v>
      </c>
      <c r="C39" s="44" t="s">
        <v>807</v>
      </c>
      <c r="D39" s="44">
        <v>2</v>
      </c>
      <c r="E39" s="120">
        <v>100</v>
      </c>
      <c r="F39" s="118">
        <v>8</v>
      </c>
      <c r="G39" s="118">
        <v>17</v>
      </c>
      <c r="H39" s="118">
        <v>6</v>
      </c>
      <c r="I39" s="138"/>
    </row>
    <row r="40" spans="2:9">
      <c r="B40" s="122" t="s">
        <v>774</v>
      </c>
      <c r="C40" s="44" t="s">
        <v>808</v>
      </c>
      <c r="D40" s="44">
        <v>2</v>
      </c>
      <c r="E40" s="120">
        <v>100</v>
      </c>
      <c r="F40" s="118">
        <v>8</v>
      </c>
      <c r="G40" s="118">
        <v>19</v>
      </c>
      <c r="H40" s="118">
        <v>4</v>
      </c>
      <c r="I40" s="138"/>
    </row>
    <row r="41" spans="2:9">
      <c r="B41" s="122" t="s">
        <v>775</v>
      </c>
      <c r="C41" s="44" t="s">
        <v>809</v>
      </c>
      <c r="D41" s="44">
        <v>2</v>
      </c>
      <c r="E41" s="120">
        <v>100</v>
      </c>
      <c r="F41" s="118">
        <v>11</v>
      </c>
      <c r="G41" s="118">
        <v>13</v>
      </c>
      <c r="H41" s="118">
        <v>7</v>
      </c>
      <c r="I41" s="138"/>
    </row>
    <row r="42" spans="2:9">
      <c r="B42" s="109"/>
      <c r="C42" s="109" t="s">
        <v>870</v>
      </c>
      <c r="D42" s="138"/>
      <c r="E42" s="138">
        <f>SUM(E38:E41)</f>
        <v>400</v>
      </c>
      <c r="F42" s="138">
        <f>SUM(F38:F41)</f>
        <v>37</v>
      </c>
      <c r="G42" s="138">
        <f>SUM(G38:G41)</f>
        <v>63</v>
      </c>
      <c r="H42" s="138">
        <f>SUM(H38:H41)</f>
        <v>24</v>
      </c>
      <c r="I42" s="138">
        <f>MAX(ROUND((G42-H47)*E42/400,0),12)</f>
        <v>15</v>
      </c>
    </row>
    <row r="43" spans="2:9">
      <c r="B43" s="122" t="s">
        <v>762</v>
      </c>
      <c r="C43" s="44" t="s">
        <v>471</v>
      </c>
      <c r="D43" s="68"/>
      <c r="E43" s="68"/>
      <c r="F43" s="38">
        <f>IFERROR(VLOOKUP($C43,'적군 유닛'!$C$6:$K$8,COLUMN(A25)+2,FALSE),"")</f>
        <v>20</v>
      </c>
      <c r="G43" s="38">
        <f>IFERROR(VLOOKUP($C43,'적군 유닛'!$C$6:$K$8,COLUMN(B25)+2,FALSE),"")</f>
        <v>12</v>
      </c>
      <c r="H43" s="38">
        <f>IFERROR(VLOOKUP($C43,'적군 유닛'!$C$6:$K$8,COLUMN(C25)+2,FALSE),"")</f>
        <v>12</v>
      </c>
      <c r="I43" s="109"/>
    </row>
    <row r="44" spans="2:9">
      <c r="B44" s="122" t="s">
        <v>763</v>
      </c>
      <c r="C44" s="44" t="s">
        <v>471</v>
      </c>
      <c r="D44" s="68"/>
      <c r="E44" s="68"/>
      <c r="F44" s="38">
        <f>IFERROR(VLOOKUP($C44,'적군 유닛'!$C$6:$K$8,COLUMN(A26)+2,FALSE),"")</f>
        <v>20</v>
      </c>
      <c r="G44" s="38">
        <f>IFERROR(VLOOKUP($C44,'적군 유닛'!$C$6:$K$8,COLUMN(B26)+2,FALSE),"")</f>
        <v>12</v>
      </c>
      <c r="H44" s="38">
        <f>IFERROR(VLOOKUP($C44,'적군 유닛'!$C$6:$K$8,COLUMN(C26)+2,FALSE),"")</f>
        <v>12</v>
      </c>
      <c r="I44" s="109"/>
    </row>
    <row r="45" spans="2:9">
      <c r="B45" s="122" t="s">
        <v>765</v>
      </c>
      <c r="C45" s="44" t="s">
        <v>471</v>
      </c>
      <c r="D45" s="68"/>
      <c r="E45" s="68"/>
      <c r="F45" s="38">
        <f>IFERROR(VLOOKUP($C45,'적군 유닛'!$C$6:$K$8,COLUMN(A27)+2,FALSE),"")</f>
        <v>20</v>
      </c>
      <c r="G45" s="38">
        <f>IFERROR(VLOOKUP($C45,'적군 유닛'!$C$6:$K$8,COLUMN(B27)+2,FALSE),"")</f>
        <v>12</v>
      </c>
      <c r="H45" s="38">
        <f>IFERROR(VLOOKUP($C45,'적군 유닛'!$C$6:$K$8,COLUMN(C27)+2,FALSE),"")</f>
        <v>12</v>
      </c>
      <c r="I45" s="109"/>
    </row>
    <row r="46" spans="2:9">
      <c r="B46" s="122" t="s">
        <v>766</v>
      </c>
      <c r="C46" s="44" t="s">
        <v>471</v>
      </c>
      <c r="D46" s="68"/>
      <c r="E46" s="68"/>
      <c r="F46" s="38">
        <f>IFERROR(VLOOKUP($C46,'적군 유닛'!$C$6:$K$8,COLUMN(A28)+2,FALSE),"")</f>
        <v>20</v>
      </c>
      <c r="G46" s="38">
        <f>IFERROR(VLOOKUP($C46,'적군 유닛'!$C$6:$K$8,COLUMN(B28)+2,FALSE),"")</f>
        <v>12</v>
      </c>
      <c r="H46" s="38">
        <f>IFERROR(VLOOKUP($C46,'적군 유닛'!$C$6:$K$8,COLUMN(C28)+2,FALSE),"")</f>
        <v>12</v>
      </c>
      <c r="I46" s="109"/>
    </row>
    <row r="47" spans="2:9">
      <c r="B47" s="109"/>
      <c r="C47" s="109" t="s">
        <v>870</v>
      </c>
      <c r="D47" s="109"/>
      <c r="E47" s="109"/>
      <c r="F47" s="109">
        <f>SUM(F43:F46)</f>
        <v>80</v>
      </c>
      <c r="G47" s="109">
        <f t="shared" ref="G47:H47" si="0">SUM(G43:G46)</f>
        <v>48</v>
      </c>
      <c r="H47" s="109">
        <f t="shared" si="0"/>
        <v>48</v>
      </c>
      <c r="I47" s="109">
        <f>MAX(ROUND(G47-H42,0),12)</f>
        <v>24</v>
      </c>
    </row>
    <row r="49" spans="2:11" ht="86.65" customHeight="1">
      <c r="B49" s="143" t="s">
        <v>875</v>
      </c>
      <c r="C49" s="143"/>
      <c r="D49" s="143"/>
      <c r="E49" s="143"/>
      <c r="F49" s="143"/>
      <c r="G49" s="143"/>
      <c r="H49" s="143"/>
      <c r="I49" s="143"/>
    </row>
    <row r="50" spans="2:11">
      <c r="C50" s="75"/>
      <c r="D50" s="75"/>
      <c r="E50" s="75"/>
      <c r="F50" s="75"/>
      <c r="G50" s="75"/>
      <c r="H50" s="75"/>
      <c r="I50" s="75"/>
    </row>
    <row r="52" spans="2:11" ht="33.5">
      <c r="B52" s="137" t="s">
        <v>877</v>
      </c>
    </row>
    <row r="53" spans="2:11" ht="16.899999999999999" customHeight="1"/>
    <row r="54" spans="2:11" ht="230" customHeight="1">
      <c r="B54" s="143" t="s">
        <v>880</v>
      </c>
      <c r="C54" s="143"/>
      <c r="D54" s="143"/>
      <c r="E54" s="143"/>
      <c r="F54" s="143"/>
      <c r="G54" s="143"/>
      <c r="H54" s="143"/>
      <c r="I54" s="143"/>
    </row>
    <row r="55" spans="2:11">
      <c r="B55" s="14" t="s">
        <v>878</v>
      </c>
    </row>
    <row r="56" spans="2:11">
      <c r="B56" s="132" t="s">
        <v>871</v>
      </c>
    </row>
    <row r="57" spans="2:11">
      <c r="B57" s="122"/>
      <c r="C57" s="122" t="s">
        <v>391</v>
      </c>
      <c r="D57" s="122" t="s">
        <v>392</v>
      </c>
      <c r="E57" s="121" t="s">
        <v>751</v>
      </c>
      <c r="F57" s="122" t="s">
        <v>323</v>
      </c>
      <c r="G57" s="122" t="s">
        <v>321</v>
      </c>
      <c r="H57" s="122" t="s">
        <v>322</v>
      </c>
      <c r="I57" s="122" t="s">
        <v>858</v>
      </c>
    </row>
    <row r="58" spans="2:11">
      <c r="B58" s="122" t="s">
        <v>772</v>
      </c>
      <c r="C58" s="44" t="s">
        <v>806</v>
      </c>
      <c r="D58" s="44">
        <v>1</v>
      </c>
      <c r="E58" s="120">
        <v>100</v>
      </c>
      <c r="F58" s="118">
        <v>6</v>
      </c>
      <c r="G58" s="118">
        <v>10</v>
      </c>
      <c r="H58" s="118">
        <v>5</v>
      </c>
      <c r="I58" s="138"/>
    </row>
    <row r="59" spans="2:11">
      <c r="B59" s="122" t="s">
        <v>773</v>
      </c>
      <c r="C59" s="44" t="s">
        <v>807</v>
      </c>
      <c r="D59" s="44">
        <v>1</v>
      </c>
      <c r="E59" s="120">
        <v>100</v>
      </c>
      <c r="F59" s="118">
        <v>4</v>
      </c>
      <c r="G59" s="118">
        <v>13</v>
      </c>
      <c r="H59" s="118">
        <v>4</v>
      </c>
      <c r="I59" s="138"/>
    </row>
    <row r="60" spans="2:11">
      <c r="B60" s="122" t="s">
        <v>774</v>
      </c>
      <c r="C60" s="44" t="s">
        <v>808</v>
      </c>
      <c r="D60" s="44">
        <v>1</v>
      </c>
      <c r="E60" s="120">
        <v>100</v>
      </c>
      <c r="F60" s="118">
        <v>6</v>
      </c>
      <c r="G60" s="118">
        <v>13</v>
      </c>
      <c r="H60" s="118">
        <v>2</v>
      </c>
      <c r="I60" s="138"/>
    </row>
    <row r="61" spans="2:11" ht="17.25" customHeight="1">
      <c r="B61" s="122" t="s">
        <v>775</v>
      </c>
      <c r="C61" s="44" t="s">
        <v>809</v>
      </c>
      <c r="D61" s="44">
        <v>1</v>
      </c>
      <c r="E61" s="120">
        <v>100</v>
      </c>
      <c r="F61" s="118">
        <v>6</v>
      </c>
      <c r="G61" s="118">
        <v>9</v>
      </c>
      <c r="H61" s="118">
        <v>6</v>
      </c>
      <c r="I61" s="138"/>
    </row>
    <row r="62" spans="2:11" ht="17.25" customHeight="1">
      <c r="B62" s="109"/>
      <c r="C62" s="109" t="s">
        <v>870</v>
      </c>
      <c r="D62" s="138"/>
      <c r="E62" s="138">
        <f>SUM(E58:E61)</f>
        <v>400</v>
      </c>
      <c r="F62" s="138">
        <f>SUM(F58:F61)</f>
        <v>22</v>
      </c>
      <c r="G62" s="138">
        <f>SUM(G58:G61)</f>
        <v>45</v>
      </c>
      <c r="H62" s="138">
        <f>SUM(H58:H61)</f>
        <v>17</v>
      </c>
      <c r="I62" s="138">
        <f>MAX(ROUND((G62-H67)*E62/400,0),12)</f>
        <v>25</v>
      </c>
    </row>
    <row r="63" spans="2:11">
      <c r="B63" s="122" t="s">
        <v>762</v>
      </c>
      <c r="C63" s="44" t="s">
        <v>470</v>
      </c>
      <c r="D63" s="68"/>
      <c r="E63" s="68"/>
      <c r="F63" s="38">
        <v>10</v>
      </c>
      <c r="G63" s="38">
        <v>5</v>
      </c>
      <c r="H63" s="38">
        <v>5</v>
      </c>
      <c r="I63" s="109"/>
      <c r="K63" s="139"/>
    </row>
    <row r="64" spans="2:11">
      <c r="B64" s="122" t="s">
        <v>763</v>
      </c>
      <c r="C64" s="44" t="s">
        <v>470</v>
      </c>
      <c r="D64" s="68"/>
      <c r="E64" s="68"/>
      <c r="F64" s="38">
        <v>10</v>
      </c>
      <c r="G64" s="38">
        <v>5</v>
      </c>
      <c r="H64" s="38">
        <v>5</v>
      </c>
      <c r="I64" s="109"/>
      <c r="K64" s="139"/>
    </row>
    <row r="65" spans="2:11">
      <c r="B65" s="122" t="s">
        <v>765</v>
      </c>
      <c r="C65" s="44" t="s">
        <v>470</v>
      </c>
      <c r="D65" s="68"/>
      <c r="E65" s="68"/>
      <c r="F65" s="38">
        <v>10</v>
      </c>
      <c r="G65" s="38">
        <v>5</v>
      </c>
      <c r="H65" s="38">
        <v>5</v>
      </c>
      <c r="I65" s="109"/>
      <c r="K65" s="140"/>
    </row>
    <row r="66" spans="2:11">
      <c r="B66" s="122" t="s">
        <v>766</v>
      </c>
      <c r="C66" s="44" t="s">
        <v>470</v>
      </c>
      <c r="D66" s="68"/>
      <c r="E66" s="68"/>
      <c r="F66" s="38">
        <v>10</v>
      </c>
      <c r="G66" s="38">
        <v>5</v>
      </c>
      <c r="H66" s="38">
        <v>5</v>
      </c>
      <c r="I66" s="109"/>
      <c r="K66" s="139"/>
    </row>
    <row r="67" spans="2:11">
      <c r="B67" s="109"/>
      <c r="C67" s="109" t="s">
        <v>870</v>
      </c>
      <c r="D67" s="109"/>
      <c r="E67" s="109"/>
      <c r="F67" s="109">
        <f>SUM(F63:F66)</f>
        <v>40</v>
      </c>
      <c r="G67" s="109">
        <f>SUM(G63:G66)</f>
        <v>20</v>
      </c>
      <c r="H67" s="109">
        <f>SUM(H63:H66)</f>
        <v>20</v>
      </c>
      <c r="I67" s="109">
        <f>MAX(ROUND(G67-H62,0),12)</f>
        <v>12</v>
      </c>
    </row>
    <row r="69" spans="2:11" ht="84.75" customHeight="1">
      <c r="B69" s="143" t="s">
        <v>883</v>
      </c>
      <c r="C69" s="143"/>
      <c r="D69" s="143"/>
      <c r="E69" s="143"/>
      <c r="F69" s="143"/>
      <c r="G69" s="143"/>
      <c r="H69" s="143"/>
      <c r="I69" s="143"/>
      <c r="K69" s="141"/>
    </row>
    <row r="71" spans="2:11">
      <c r="B71" s="122"/>
      <c r="C71" s="122" t="s">
        <v>391</v>
      </c>
      <c r="D71" s="122" t="s">
        <v>392</v>
      </c>
      <c r="E71" s="121" t="s">
        <v>751</v>
      </c>
      <c r="F71" s="65" t="s">
        <v>323</v>
      </c>
      <c r="G71" s="65" t="s">
        <v>321</v>
      </c>
      <c r="H71" s="65" t="s">
        <v>322</v>
      </c>
      <c r="I71" s="122" t="s">
        <v>858</v>
      </c>
    </row>
    <row r="72" spans="2:11">
      <c r="B72" s="122" t="s">
        <v>772</v>
      </c>
      <c r="C72" s="44" t="s">
        <v>806</v>
      </c>
      <c r="D72" s="44">
        <v>3</v>
      </c>
      <c r="E72" s="120">
        <v>100</v>
      </c>
      <c r="F72" s="118">
        <v>14</v>
      </c>
      <c r="G72" s="118">
        <v>18</v>
      </c>
      <c r="H72" s="118">
        <v>9</v>
      </c>
      <c r="I72" s="138"/>
    </row>
    <row r="73" spans="2:11">
      <c r="B73" s="122" t="s">
        <v>773</v>
      </c>
      <c r="C73" s="44" t="s">
        <v>807</v>
      </c>
      <c r="D73" s="44">
        <v>3</v>
      </c>
      <c r="E73" s="120">
        <v>100</v>
      </c>
      <c r="F73" s="118">
        <v>12</v>
      </c>
      <c r="G73" s="118">
        <v>21</v>
      </c>
      <c r="H73" s="118">
        <v>8</v>
      </c>
      <c r="I73" s="138"/>
    </row>
    <row r="74" spans="2:11">
      <c r="B74" s="122" t="s">
        <v>774</v>
      </c>
      <c r="C74" s="44" t="s">
        <v>808</v>
      </c>
      <c r="D74" s="44">
        <v>3</v>
      </c>
      <c r="E74" s="120">
        <v>100</v>
      </c>
      <c r="F74" s="118">
        <v>10</v>
      </c>
      <c r="G74" s="118">
        <v>25</v>
      </c>
      <c r="H74" s="118">
        <v>6</v>
      </c>
      <c r="I74" s="138"/>
    </row>
    <row r="75" spans="2:11">
      <c r="B75" s="122" t="s">
        <v>775</v>
      </c>
      <c r="C75" s="44" t="s">
        <v>809</v>
      </c>
      <c r="D75" s="44">
        <v>2</v>
      </c>
      <c r="E75" s="120">
        <v>100</v>
      </c>
      <c r="F75" s="118">
        <v>11</v>
      </c>
      <c r="G75" s="118">
        <v>13</v>
      </c>
      <c r="H75" s="118">
        <v>7</v>
      </c>
      <c r="I75" s="138"/>
      <c r="K75" s="136"/>
    </row>
    <row r="76" spans="2:11">
      <c r="B76" s="109"/>
      <c r="C76" s="109" t="s">
        <v>870</v>
      </c>
      <c r="D76" s="138"/>
      <c r="E76" s="138">
        <f>SUM(E72:E75)</f>
        <v>400</v>
      </c>
      <c r="F76" s="138">
        <f>SUM(F72:F75)</f>
        <v>47</v>
      </c>
      <c r="G76" s="138">
        <f>SUM(G72:G75)</f>
        <v>77</v>
      </c>
      <c r="H76" s="138">
        <f>SUM(H72:H75)</f>
        <v>30</v>
      </c>
      <c r="I76" s="138">
        <f>MAX(ROUND((G76-H81)*E76/400,0),12)</f>
        <v>29</v>
      </c>
      <c r="K76" s="136"/>
    </row>
    <row r="77" spans="2:11">
      <c r="B77" s="122" t="s">
        <v>762</v>
      </c>
      <c r="C77" s="44" t="s">
        <v>471</v>
      </c>
      <c r="D77" s="68"/>
      <c r="E77" s="68"/>
      <c r="F77" s="38">
        <f>IFERROR(VLOOKUP($C77,'적군 유닛'!$C$6:$K$8,COLUMN(A59)+2,FALSE),"")</f>
        <v>20</v>
      </c>
      <c r="G77" s="38">
        <f>IFERROR(VLOOKUP($C77,'적군 유닛'!$C$6:$K$8,COLUMN(B59)+2,FALSE),"")</f>
        <v>12</v>
      </c>
      <c r="H77" s="38">
        <f>IFERROR(VLOOKUP($C77,'적군 유닛'!$C$6:$K$8,COLUMN(C59)+2,FALSE),"")</f>
        <v>12</v>
      </c>
      <c r="I77" s="109"/>
      <c r="K77" s="136"/>
    </row>
    <row r="78" spans="2:11">
      <c r="B78" s="122" t="s">
        <v>763</v>
      </c>
      <c r="C78" s="44" t="s">
        <v>471</v>
      </c>
      <c r="D78" s="68"/>
      <c r="E78" s="68"/>
      <c r="F78" s="38">
        <f>IFERROR(VLOOKUP($C78,'적군 유닛'!$C$6:$K$8,COLUMN(A60)+2,FALSE),"")</f>
        <v>20</v>
      </c>
      <c r="G78" s="38">
        <f>IFERROR(VLOOKUP($C78,'적군 유닛'!$C$6:$K$8,COLUMN(B60)+2,FALSE),"")</f>
        <v>12</v>
      </c>
      <c r="H78" s="38">
        <f>IFERROR(VLOOKUP($C78,'적군 유닛'!$C$6:$K$8,COLUMN(C60)+2,FALSE),"")</f>
        <v>12</v>
      </c>
      <c r="I78" s="109"/>
      <c r="K78" s="136"/>
    </row>
    <row r="79" spans="2:11">
      <c r="B79" s="122" t="s">
        <v>765</v>
      </c>
      <c r="C79" s="44" t="s">
        <v>471</v>
      </c>
      <c r="D79" s="68"/>
      <c r="E79" s="68"/>
      <c r="F79" s="38">
        <f>IFERROR(VLOOKUP($C79,'적군 유닛'!$C$6:$K$8,COLUMN(A61)+2,FALSE),"")</f>
        <v>20</v>
      </c>
      <c r="G79" s="38">
        <f>IFERROR(VLOOKUP($C79,'적군 유닛'!$C$6:$K$8,COLUMN(B61)+2,FALSE),"")</f>
        <v>12</v>
      </c>
      <c r="H79" s="38">
        <f>IFERROR(VLOOKUP($C79,'적군 유닛'!$C$6:$K$8,COLUMN(C61)+2,FALSE),"")</f>
        <v>12</v>
      </c>
      <c r="I79" s="109"/>
    </row>
    <row r="80" spans="2:11">
      <c r="B80" s="122" t="s">
        <v>766</v>
      </c>
      <c r="C80" s="44" t="s">
        <v>471</v>
      </c>
      <c r="D80" s="68"/>
      <c r="E80" s="68"/>
      <c r="F80" s="38">
        <f>IFERROR(VLOOKUP($C80,'적군 유닛'!$C$6:$K$8,COLUMN(A62)+2,FALSE),"")</f>
        <v>20</v>
      </c>
      <c r="G80" s="38">
        <f>IFERROR(VLOOKUP($C80,'적군 유닛'!$C$6:$K$8,COLUMN(B62)+2,FALSE),"")</f>
        <v>12</v>
      </c>
      <c r="H80" s="38">
        <f>IFERROR(VLOOKUP($C80,'적군 유닛'!$C$6:$K$8,COLUMN(C62)+2,FALSE),"")</f>
        <v>12</v>
      </c>
      <c r="I80" s="109"/>
    </row>
    <row r="81" spans="2:11">
      <c r="B81" s="109"/>
      <c r="C81" s="109" t="s">
        <v>870</v>
      </c>
      <c r="D81" s="109"/>
      <c r="E81" s="109"/>
      <c r="F81" s="109">
        <f>SUM(F77:F80)</f>
        <v>80</v>
      </c>
      <c r="G81" s="109">
        <f>SUM(G77:G80)</f>
        <v>48</v>
      </c>
      <c r="H81" s="109">
        <f>SUM(H77:H80)</f>
        <v>48</v>
      </c>
      <c r="I81" s="109">
        <f>MAX(ROUND(G81-H76,0),12)</f>
        <v>18</v>
      </c>
    </row>
    <row r="82" spans="2:11" ht="25.5">
      <c r="B82" s="133"/>
      <c r="C82" s="135"/>
    </row>
    <row r="83" spans="2:11" ht="104.25" customHeight="1">
      <c r="B83" s="143" t="s">
        <v>882</v>
      </c>
      <c r="C83" s="143"/>
      <c r="D83" s="143"/>
      <c r="E83" s="143"/>
      <c r="F83" s="143"/>
      <c r="G83" s="143"/>
      <c r="H83" s="143"/>
      <c r="I83" s="143"/>
    </row>
    <row r="84" spans="2:11" ht="21.75" customHeight="1">
      <c r="C84" s="75"/>
      <c r="D84" s="75"/>
      <c r="E84" s="75"/>
      <c r="F84" s="75"/>
      <c r="G84" s="75"/>
      <c r="H84" s="75"/>
      <c r="I84" s="75"/>
    </row>
    <row r="85" spans="2:11" ht="112.5" customHeight="1">
      <c r="B85" s="143" t="s">
        <v>879</v>
      </c>
      <c r="C85" s="143"/>
      <c r="D85" s="143"/>
      <c r="E85" s="143"/>
      <c r="F85" s="143"/>
      <c r="G85" s="143"/>
      <c r="H85" s="143"/>
      <c r="I85" s="143"/>
      <c r="K85" s="141"/>
    </row>
    <row r="86" spans="2:11" ht="25.5">
      <c r="B86" s="133"/>
      <c r="C86" s="135"/>
    </row>
    <row r="87" spans="2:11">
      <c r="B87" s="122"/>
      <c r="C87" s="122" t="s">
        <v>391</v>
      </c>
      <c r="D87" s="122" t="s">
        <v>392</v>
      </c>
      <c r="E87" s="121" t="s">
        <v>751</v>
      </c>
      <c r="F87" s="65" t="s">
        <v>323</v>
      </c>
      <c r="G87" s="65" t="s">
        <v>321</v>
      </c>
      <c r="H87" s="65" t="s">
        <v>322</v>
      </c>
      <c r="I87" s="122" t="s">
        <v>858</v>
      </c>
    </row>
    <row r="88" spans="2:11">
      <c r="B88" s="122" t="s">
        <v>772</v>
      </c>
      <c r="C88" s="44" t="s">
        <v>806</v>
      </c>
      <c r="D88" s="44">
        <v>2</v>
      </c>
      <c r="E88" s="120">
        <v>100</v>
      </c>
      <c r="F88" s="118">
        <v>10</v>
      </c>
      <c r="G88" s="118">
        <v>14</v>
      </c>
      <c r="H88" s="118">
        <v>7</v>
      </c>
      <c r="I88" s="138"/>
      <c r="J88" s="136"/>
    </row>
    <row r="89" spans="2:11">
      <c r="B89" s="122" t="s">
        <v>773</v>
      </c>
      <c r="C89" s="44" t="s">
        <v>807</v>
      </c>
      <c r="D89" s="44">
        <v>2</v>
      </c>
      <c r="E89" s="120">
        <v>100</v>
      </c>
      <c r="F89" s="118">
        <v>8</v>
      </c>
      <c r="G89" s="118">
        <v>17</v>
      </c>
      <c r="H89" s="118">
        <v>6</v>
      </c>
      <c r="I89" s="138"/>
      <c r="J89" s="136"/>
    </row>
    <row r="90" spans="2:11">
      <c r="B90" s="122" t="s">
        <v>774</v>
      </c>
      <c r="C90" s="44" t="s">
        <v>808</v>
      </c>
      <c r="D90" s="44">
        <v>2</v>
      </c>
      <c r="E90" s="120">
        <v>100</v>
      </c>
      <c r="F90" s="118">
        <v>8</v>
      </c>
      <c r="G90" s="118">
        <v>19</v>
      </c>
      <c r="H90" s="118">
        <v>4</v>
      </c>
      <c r="I90" s="138"/>
      <c r="J90" s="136"/>
    </row>
    <row r="91" spans="2:11">
      <c r="B91" s="122" t="s">
        <v>775</v>
      </c>
      <c r="C91" s="44" t="s">
        <v>809</v>
      </c>
      <c r="D91" s="44">
        <v>2</v>
      </c>
      <c r="E91" s="120">
        <v>100</v>
      </c>
      <c r="F91" s="118">
        <v>11</v>
      </c>
      <c r="G91" s="118">
        <v>13</v>
      </c>
      <c r="H91" s="118">
        <v>7</v>
      </c>
      <c r="I91" s="138"/>
      <c r="J91" s="136"/>
    </row>
    <row r="92" spans="2:11">
      <c r="B92" s="109"/>
      <c r="C92" s="109" t="s">
        <v>870</v>
      </c>
      <c r="D92" s="138"/>
      <c r="E92" s="138">
        <f>SUM(E88:E91)</f>
        <v>400</v>
      </c>
      <c r="F92" s="138">
        <f>SUM(F88:F91)</f>
        <v>37</v>
      </c>
      <c r="G92" s="138">
        <f>SUM(G88:G91)</f>
        <v>63</v>
      </c>
      <c r="H92" s="138">
        <f>SUM(H88:H91)</f>
        <v>24</v>
      </c>
      <c r="I92" s="138">
        <f>MAX(ROUND((G92-H97)*E92/400,0),12)</f>
        <v>15</v>
      </c>
    </row>
    <row r="93" spans="2:11">
      <c r="B93" s="122" t="s">
        <v>762</v>
      </c>
      <c r="C93" s="44" t="s">
        <v>471</v>
      </c>
      <c r="D93" s="68"/>
      <c r="E93" s="68"/>
      <c r="F93" s="38">
        <f>IFERROR(VLOOKUP($C93,'적군 유닛'!$C$6:$K$8,COLUMN(A73)+2,FALSE),"")</f>
        <v>20</v>
      </c>
      <c r="G93" s="38">
        <f>IFERROR(VLOOKUP($C93,'적군 유닛'!$C$6:$K$8,COLUMN(B73)+2,FALSE),"")</f>
        <v>12</v>
      </c>
      <c r="H93" s="38">
        <f>IFERROR(VLOOKUP($C93,'적군 유닛'!$C$6:$K$8,COLUMN(C73)+2,FALSE),"")</f>
        <v>12</v>
      </c>
      <c r="I93" s="109"/>
    </row>
    <row r="94" spans="2:11">
      <c r="B94" s="122" t="s">
        <v>763</v>
      </c>
      <c r="C94" s="44" t="s">
        <v>471</v>
      </c>
      <c r="D94" s="68"/>
      <c r="E94" s="68"/>
      <c r="F94" s="38">
        <f>IFERROR(VLOOKUP($C94,'적군 유닛'!$C$6:$K$8,COLUMN(A74)+2,FALSE),"")</f>
        <v>20</v>
      </c>
      <c r="G94" s="38">
        <f>IFERROR(VLOOKUP($C94,'적군 유닛'!$C$6:$K$8,COLUMN(B74)+2,FALSE),"")</f>
        <v>12</v>
      </c>
      <c r="H94" s="38">
        <f>IFERROR(VLOOKUP($C94,'적군 유닛'!$C$6:$K$8,COLUMN(C74)+2,FALSE),"")</f>
        <v>12</v>
      </c>
      <c r="I94" s="109"/>
    </row>
    <row r="95" spans="2:11">
      <c r="B95" s="122" t="s">
        <v>765</v>
      </c>
      <c r="C95" s="44" t="s">
        <v>471</v>
      </c>
      <c r="D95" s="68"/>
      <c r="E95" s="68"/>
      <c r="F95" s="38">
        <f>IFERROR(VLOOKUP($C95,'적군 유닛'!$C$6:$K$8,COLUMN(A75)+2,FALSE),"")</f>
        <v>20</v>
      </c>
      <c r="G95" s="38">
        <f>IFERROR(VLOOKUP($C95,'적군 유닛'!$C$6:$K$8,COLUMN(B75)+2,FALSE),"")</f>
        <v>12</v>
      </c>
      <c r="H95" s="38">
        <f>IFERROR(VLOOKUP($C95,'적군 유닛'!$C$6:$K$8,COLUMN(C75)+2,FALSE),"")</f>
        <v>12</v>
      </c>
      <c r="I95" s="109"/>
    </row>
    <row r="96" spans="2:11">
      <c r="B96" s="122" t="s">
        <v>766</v>
      </c>
      <c r="C96" s="44" t="s">
        <v>471</v>
      </c>
      <c r="D96" s="68"/>
      <c r="E96" s="68"/>
      <c r="F96" s="38">
        <f>IFERROR(VLOOKUP($C96,'적군 유닛'!$C$6:$K$8,COLUMN(A76)+2,FALSE),"")</f>
        <v>20</v>
      </c>
      <c r="G96" s="38">
        <f>IFERROR(VLOOKUP($C96,'적군 유닛'!$C$6:$K$8,COLUMN(B76)+2,FALSE),"")</f>
        <v>12</v>
      </c>
      <c r="H96" s="38">
        <f>IFERROR(VLOOKUP($C96,'적군 유닛'!$C$6:$K$8,COLUMN(C76)+2,FALSE),"")</f>
        <v>12</v>
      </c>
      <c r="I96" s="109"/>
    </row>
    <row r="97" spans="2:11">
      <c r="B97" s="109"/>
      <c r="C97" s="109" t="s">
        <v>870</v>
      </c>
      <c r="D97" s="109"/>
      <c r="E97" s="109"/>
      <c r="F97" s="109">
        <f>SUM(F93:F96)</f>
        <v>80</v>
      </c>
      <c r="G97" s="109">
        <f t="shared" ref="G97:H97" si="1">SUM(G93:G96)</f>
        <v>48</v>
      </c>
      <c r="H97" s="109">
        <f t="shared" si="1"/>
        <v>48</v>
      </c>
      <c r="I97" s="109">
        <f>MAX(ROUND(G97-H92,0),12)</f>
        <v>24</v>
      </c>
    </row>
    <row r="99" spans="2:11" ht="86.65" customHeight="1">
      <c r="B99" s="143" t="s">
        <v>881</v>
      </c>
      <c r="C99" s="143"/>
      <c r="D99" s="143"/>
      <c r="E99" s="143"/>
      <c r="F99" s="143"/>
      <c r="G99" s="143"/>
      <c r="H99" s="143"/>
      <c r="I99" s="143"/>
      <c r="K99" s="141"/>
    </row>
    <row r="100" spans="2:11">
      <c r="C100" s="75"/>
      <c r="D100" s="75"/>
      <c r="E100" s="75"/>
      <c r="F100" s="75"/>
      <c r="G100" s="75"/>
      <c r="H100" s="75"/>
      <c r="I100" s="75"/>
      <c r="K100" s="141"/>
    </row>
  </sheetData>
  <mergeCells count="10">
    <mergeCell ref="B4:I4"/>
    <mergeCell ref="B6:I6"/>
    <mergeCell ref="B85:I85"/>
    <mergeCell ref="B99:I99"/>
    <mergeCell ref="B21:I21"/>
    <mergeCell ref="B35:I35"/>
    <mergeCell ref="B49:I49"/>
    <mergeCell ref="B54:I54"/>
    <mergeCell ref="B69:I69"/>
    <mergeCell ref="B83:I83"/>
  </mergeCells>
  <phoneticPr fontId="4" type="noConversion"/>
  <dataValidations count="2">
    <dataValidation type="whole" operator="lessThan" allowBlank="1" showInputMessage="1" showErrorMessage="1" sqref="E10:E13 E24:E27 E38:E41 E58:E61 E72:E75 E88:E91" xr:uid="{CFCD4909-23DE-406E-B20A-34AA6A997907}">
      <formula1>#REF!</formula1>
    </dataValidation>
    <dataValidation type="list" allowBlank="1" showInputMessage="1" showErrorMessage="1" sqref="D10:D13 D24:D27 D38:D41 D58:D61 D72:D75 D88:D91" xr:uid="{B81D1BE5-8DFC-4BDE-85AE-B07D36B7416F}">
      <formula1>"1,2,3,4,5,6,7,8,9,10,11,12,13,14,15"</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31D3060-B640-419C-999A-7E5698213729}">
          <x14:formula1>
            <xm:f>'아군 유닛'!$C$6:$C$9</xm:f>
          </x14:formula1>
          <xm:sqref>C10:C13 C24:C27 C38:C41 C58:C61 C72:C75 C88:C91</xm:sqref>
        </x14:dataValidation>
        <x14:dataValidation type="list" allowBlank="1" showInputMessage="1" showErrorMessage="1" xr:uid="{8C9AA650-B15E-44DF-B80F-9A76C8E5E359}">
          <x14:formula1>
            <xm:f>'적군 유닛'!$C$6:$C$8</xm:f>
          </x14:formula1>
          <xm:sqref>C15:C18 C29:C32 C43:C46 C63:C66 C77:C80 C93:C96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6F35-B98A-47CD-870F-5808A00B01B2}">
  <dimension ref="A1:Q22"/>
  <sheetViews>
    <sheetView zoomScaleNormal="100" workbookViewId="0">
      <selection activeCell="B3" sqref="B3"/>
    </sheetView>
  </sheetViews>
  <sheetFormatPr defaultRowHeight="17"/>
  <cols>
    <col min="1" max="1" width="10.5" bestFit="1" customWidth="1"/>
    <col min="2" max="4" width="15.58203125" customWidth="1"/>
    <col min="5" max="5" width="33.4140625" bestFit="1" customWidth="1"/>
    <col min="6" max="12" width="15.58203125" customWidth="1"/>
    <col min="13" max="13" width="37.75" bestFit="1" customWidth="1"/>
    <col min="14" max="14" width="56.9140625" bestFit="1" customWidth="1"/>
    <col min="15" max="15" width="25" customWidth="1"/>
    <col min="16" max="16" width="24.58203125" customWidth="1"/>
    <col min="17" max="17" width="24.33203125" customWidth="1"/>
    <col min="18" max="62" width="15.58203125" customWidth="1"/>
  </cols>
  <sheetData>
    <row r="1" spans="1:17">
      <c r="A1" t="s">
        <v>657</v>
      </c>
    </row>
    <row r="2" spans="1:17">
      <c r="B2" s="156" t="s">
        <v>704</v>
      </c>
      <c r="C2" s="157"/>
      <c r="D2" s="157"/>
      <c r="E2" s="157"/>
      <c r="F2" s="157"/>
      <c r="G2" s="157"/>
      <c r="H2" s="157"/>
      <c r="I2" s="157"/>
      <c r="J2" s="157"/>
      <c r="K2" s="157"/>
      <c r="L2" s="157"/>
      <c r="M2" s="157"/>
      <c r="N2" s="157"/>
      <c r="O2" s="157"/>
      <c r="P2" s="157"/>
    </row>
    <row r="3" spans="1:17">
      <c r="A3" t="s">
        <v>888</v>
      </c>
      <c r="B3" t="s">
        <v>889</v>
      </c>
    </row>
    <row r="4" spans="1:17">
      <c r="A4" s="93" t="s">
        <v>658</v>
      </c>
      <c r="B4" s="93" t="s">
        <v>85</v>
      </c>
      <c r="C4" s="93" t="s">
        <v>86</v>
      </c>
      <c r="D4" s="93" t="s">
        <v>86</v>
      </c>
      <c r="E4" s="93" t="s">
        <v>86</v>
      </c>
      <c r="F4" s="93" t="s">
        <v>85</v>
      </c>
      <c r="G4" s="93" t="s">
        <v>85</v>
      </c>
      <c r="H4" s="93" t="s">
        <v>85</v>
      </c>
      <c r="I4" s="93" t="s">
        <v>659</v>
      </c>
      <c r="J4" s="93" t="s">
        <v>659</v>
      </c>
      <c r="K4" s="93" t="s">
        <v>659</v>
      </c>
      <c r="L4" s="93" t="s">
        <v>85</v>
      </c>
      <c r="M4" s="93" t="s">
        <v>101</v>
      </c>
      <c r="N4" s="93" t="s">
        <v>101</v>
      </c>
      <c r="O4" s="93" t="s">
        <v>85</v>
      </c>
      <c r="P4" s="93" t="s">
        <v>85</v>
      </c>
      <c r="Q4" s="93" t="s">
        <v>85</v>
      </c>
    </row>
    <row r="5" spans="1:17">
      <c r="A5" s="93" t="s">
        <v>660</v>
      </c>
      <c r="B5" s="94" t="s">
        <v>108</v>
      </c>
      <c r="C5" s="94" t="s">
        <v>632</v>
      </c>
      <c r="D5" s="94" t="s">
        <v>106</v>
      </c>
      <c r="E5" s="94" t="s">
        <v>107</v>
      </c>
      <c r="F5" s="94" t="s">
        <v>379</v>
      </c>
      <c r="G5" s="94" t="s">
        <v>378</v>
      </c>
      <c r="H5" s="94" t="s">
        <v>377</v>
      </c>
      <c r="I5" s="94" t="s">
        <v>2</v>
      </c>
      <c r="J5" s="94" t="s">
        <v>5</v>
      </c>
      <c r="K5" s="94" t="s">
        <v>139</v>
      </c>
      <c r="L5" s="94" t="s">
        <v>3</v>
      </c>
      <c r="M5" s="95" t="s">
        <v>135</v>
      </c>
      <c r="N5" s="95" t="s">
        <v>136</v>
      </c>
      <c r="O5" s="99" t="s">
        <v>525</v>
      </c>
      <c r="P5" s="99" t="s">
        <v>526</v>
      </c>
      <c r="Q5" s="99" t="s">
        <v>527</v>
      </c>
    </row>
    <row r="6" spans="1:17">
      <c r="A6" s="93" t="s">
        <v>661</v>
      </c>
      <c r="B6" s="96">
        <v>10001</v>
      </c>
      <c r="C6" s="96" t="s">
        <v>759</v>
      </c>
      <c r="D6" s="96" t="s">
        <v>457</v>
      </c>
      <c r="E6" s="96" t="s">
        <v>815</v>
      </c>
      <c r="F6" s="96">
        <v>6</v>
      </c>
      <c r="G6" s="96">
        <v>9</v>
      </c>
      <c r="H6" s="96">
        <v>5</v>
      </c>
      <c r="I6" s="97">
        <v>0.15</v>
      </c>
      <c r="J6" s="97">
        <v>0.15</v>
      </c>
      <c r="K6" s="97">
        <v>0.15</v>
      </c>
      <c r="L6" s="96">
        <v>2</v>
      </c>
      <c r="M6" s="98" t="s">
        <v>328</v>
      </c>
      <c r="N6" s="96" t="s">
        <v>329</v>
      </c>
      <c r="O6" s="100">
        <v>4</v>
      </c>
      <c r="P6" s="100">
        <v>4</v>
      </c>
      <c r="Q6" s="100">
        <v>2</v>
      </c>
    </row>
    <row r="7" spans="1:17">
      <c r="A7" s="93"/>
      <c r="B7" s="96">
        <v>10002</v>
      </c>
      <c r="C7" s="96" t="s">
        <v>756</v>
      </c>
      <c r="D7" s="96" t="s">
        <v>453</v>
      </c>
      <c r="E7" s="96" t="s">
        <v>816</v>
      </c>
      <c r="F7" s="96">
        <v>4</v>
      </c>
      <c r="G7" s="96">
        <v>12</v>
      </c>
      <c r="H7" s="96">
        <v>4</v>
      </c>
      <c r="I7" s="97">
        <v>0.3</v>
      </c>
      <c r="J7" s="97">
        <v>0.1</v>
      </c>
      <c r="K7" s="97">
        <v>0.2</v>
      </c>
      <c r="L7" s="96">
        <v>3</v>
      </c>
      <c r="M7" s="98" t="s">
        <v>143</v>
      </c>
      <c r="N7" s="96" t="s">
        <v>147</v>
      </c>
      <c r="O7" s="100">
        <v>4</v>
      </c>
      <c r="P7" s="100">
        <v>4</v>
      </c>
      <c r="Q7" s="100">
        <v>2</v>
      </c>
    </row>
    <row r="8" spans="1:17">
      <c r="A8" s="93"/>
      <c r="B8" s="96">
        <v>10003</v>
      </c>
      <c r="C8" s="96" t="s">
        <v>757</v>
      </c>
      <c r="D8" s="96" t="s">
        <v>454</v>
      </c>
      <c r="E8" s="96" t="s">
        <v>817</v>
      </c>
      <c r="F8" s="96">
        <v>6</v>
      </c>
      <c r="G8" s="96">
        <v>12</v>
      </c>
      <c r="H8" s="96">
        <v>2</v>
      </c>
      <c r="I8" s="97">
        <v>0.2</v>
      </c>
      <c r="J8" s="97">
        <v>0.05</v>
      </c>
      <c r="K8" s="97">
        <v>0.1</v>
      </c>
      <c r="L8" s="96">
        <v>2</v>
      </c>
      <c r="M8" s="98" t="s">
        <v>521</v>
      </c>
      <c r="N8" s="96" t="s">
        <v>148</v>
      </c>
      <c r="O8" s="100">
        <v>2</v>
      </c>
      <c r="P8" s="100">
        <v>6</v>
      </c>
      <c r="Q8" s="100">
        <v>2</v>
      </c>
    </row>
    <row r="9" spans="1:17">
      <c r="A9" s="93"/>
      <c r="B9" s="96">
        <v>10004</v>
      </c>
      <c r="C9" s="96" t="s">
        <v>758</v>
      </c>
      <c r="D9" s="96" t="s">
        <v>455</v>
      </c>
      <c r="E9" s="96" t="s">
        <v>818</v>
      </c>
      <c r="F9" s="96">
        <v>6</v>
      </c>
      <c r="G9" s="96">
        <v>8</v>
      </c>
      <c r="H9" s="96">
        <v>6</v>
      </c>
      <c r="I9" s="97">
        <v>0.1</v>
      </c>
      <c r="J9" s="97">
        <v>0.1</v>
      </c>
      <c r="K9" s="97">
        <v>0.15</v>
      </c>
      <c r="L9" s="96">
        <v>2</v>
      </c>
      <c r="M9" s="98" t="s">
        <v>144</v>
      </c>
      <c r="N9" s="96" t="s">
        <v>149</v>
      </c>
      <c r="O9" s="100">
        <v>5</v>
      </c>
      <c r="P9" s="100">
        <v>4</v>
      </c>
      <c r="Q9" s="100">
        <v>1</v>
      </c>
    </row>
    <row r="10" spans="1:17">
      <c r="B10" s="87"/>
      <c r="C10" s="87"/>
      <c r="D10" s="87"/>
      <c r="E10" s="87"/>
      <c r="F10" s="87"/>
      <c r="G10" s="87"/>
      <c r="H10" s="88"/>
      <c r="I10" s="87"/>
      <c r="J10" s="87"/>
      <c r="K10" s="87"/>
      <c r="L10" s="87"/>
      <c r="M10" s="87"/>
      <c r="N10" s="87"/>
    </row>
    <row r="11" spans="1:17">
      <c r="A11" t="s">
        <v>662</v>
      </c>
      <c r="B11" s="87" t="s">
        <v>663</v>
      </c>
      <c r="C11" s="87"/>
      <c r="D11" s="87"/>
      <c r="E11" s="87"/>
      <c r="F11" s="87"/>
      <c r="G11" s="87"/>
      <c r="H11" s="87"/>
      <c r="I11" s="87"/>
      <c r="J11" s="87"/>
      <c r="K11" s="87"/>
      <c r="L11" s="87"/>
      <c r="M11" s="87"/>
      <c r="N11" s="87"/>
    </row>
    <row r="12" spans="1:17" ht="34">
      <c r="A12" t="s">
        <v>657</v>
      </c>
      <c r="B12" s="89" t="s">
        <v>666</v>
      </c>
      <c r="C12" s="90" t="s">
        <v>760</v>
      </c>
      <c r="D12" s="90" t="s">
        <v>667</v>
      </c>
      <c r="E12" s="91" t="s">
        <v>668</v>
      </c>
      <c r="F12" s="87" t="s">
        <v>346</v>
      </c>
      <c r="G12" s="87" t="s">
        <v>347</v>
      </c>
      <c r="H12" s="87" t="s">
        <v>348</v>
      </c>
      <c r="I12" s="87" t="s">
        <v>669</v>
      </c>
      <c r="J12" s="87" t="s">
        <v>671</v>
      </c>
      <c r="K12" s="87" t="s">
        <v>670</v>
      </c>
      <c r="L12" s="87" t="s">
        <v>672</v>
      </c>
      <c r="M12" s="92" t="s">
        <v>673</v>
      </c>
      <c r="N12" s="92" t="s">
        <v>674</v>
      </c>
      <c r="O12" s="87" t="s">
        <v>675</v>
      </c>
      <c r="P12" s="87" t="s">
        <v>676</v>
      </c>
      <c r="Q12" s="87" t="s">
        <v>677</v>
      </c>
    </row>
    <row r="13" spans="1:17">
      <c r="B13" s="87"/>
      <c r="C13" s="87"/>
      <c r="D13" s="87"/>
      <c r="E13" s="87"/>
      <c r="F13" s="87"/>
      <c r="G13" s="87"/>
      <c r="H13" s="87"/>
      <c r="I13" s="87"/>
      <c r="J13" s="87"/>
      <c r="K13" s="87"/>
      <c r="L13" s="87"/>
      <c r="M13" s="87"/>
      <c r="N13" s="87"/>
    </row>
    <row r="14" spans="1:17">
      <c r="B14" s="87"/>
      <c r="C14" s="87"/>
      <c r="D14" s="87"/>
      <c r="E14" s="87"/>
      <c r="F14" s="87"/>
      <c r="G14" s="87"/>
      <c r="H14" s="87"/>
      <c r="I14" s="87"/>
      <c r="J14" s="87"/>
      <c r="K14" s="87"/>
      <c r="L14" s="87"/>
      <c r="M14" s="87"/>
      <c r="N14" s="87"/>
    </row>
    <row r="15" spans="1:17">
      <c r="B15" s="87"/>
      <c r="C15" s="87"/>
      <c r="D15" s="87"/>
      <c r="E15" s="87"/>
      <c r="F15" s="87"/>
      <c r="G15" s="87"/>
      <c r="H15" s="87"/>
      <c r="I15" s="87"/>
      <c r="J15" s="87"/>
      <c r="K15" s="87"/>
      <c r="L15" s="87"/>
      <c r="M15" s="87"/>
      <c r="N15" s="87"/>
    </row>
    <row r="16" spans="1:17">
      <c r="B16" s="87"/>
      <c r="C16" s="87"/>
      <c r="D16" s="87"/>
      <c r="E16" s="87"/>
      <c r="F16" s="87"/>
      <c r="G16" s="87"/>
      <c r="H16" s="87"/>
      <c r="I16" s="87"/>
      <c r="J16" s="87"/>
      <c r="K16" s="87"/>
      <c r="L16" s="87"/>
      <c r="M16" s="87"/>
      <c r="N16" s="87"/>
    </row>
    <row r="17" spans="2:14">
      <c r="B17" s="87"/>
      <c r="C17" s="87"/>
      <c r="D17" s="87"/>
      <c r="E17" s="87"/>
      <c r="F17" s="87"/>
      <c r="G17" s="87"/>
      <c r="H17" s="87"/>
      <c r="I17" s="87"/>
      <c r="J17" s="87"/>
      <c r="K17" s="87"/>
      <c r="L17" s="87"/>
      <c r="M17" s="87"/>
      <c r="N17" s="87"/>
    </row>
    <row r="18" spans="2:14">
      <c r="B18" s="87"/>
      <c r="C18" s="87"/>
      <c r="D18" s="87"/>
      <c r="E18" s="87"/>
      <c r="F18" s="87"/>
      <c r="G18" s="87"/>
      <c r="H18" s="87"/>
      <c r="I18" s="87"/>
      <c r="J18" s="87"/>
      <c r="K18" s="87"/>
      <c r="L18" s="87"/>
      <c r="M18" s="87"/>
      <c r="N18" s="87"/>
    </row>
    <row r="19" spans="2:14">
      <c r="B19" s="87"/>
      <c r="C19" s="87"/>
      <c r="D19" s="87"/>
      <c r="E19" s="87"/>
      <c r="F19" s="87"/>
      <c r="G19" s="87"/>
      <c r="H19" s="87"/>
      <c r="I19" s="87"/>
      <c r="J19" s="87"/>
      <c r="K19" s="87"/>
      <c r="L19" s="87"/>
      <c r="M19" s="87"/>
      <c r="N19" s="87"/>
    </row>
    <row r="20" spans="2:14">
      <c r="B20" s="87"/>
      <c r="C20" s="87"/>
      <c r="D20" s="87"/>
      <c r="E20" s="87"/>
      <c r="F20" s="87"/>
      <c r="G20" s="87"/>
      <c r="H20" s="87"/>
      <c r="I20" s="87"/>
      <c r="J20" s="87"/>
      <c r="K20" s="87"/>
      <c r="L20" s="87"/>
      <c r="M20" s="87"/>
      <c r="N20" s="87"/>
    </row>
    <row r="21" spans="2:14">
      <c r="B21" s="87"/>
      <c r="C21" s="87"/>
      <c r="D21" s="87"/>
      <c r="E21" s="87"/>
      <c r="F21" s="87"/>
      <c r="G21" s="87"/>
      <c r="H21" s="87"/>
      <c r="I21" s="87"/>
      <c r="J21" s="87"/>
      <c r="K21" s="87"/>
      <c r="L21" s="87"/>
      <c r="M21" s="87"/>
      <c r="N21" s="87"/>
    </row>
    <row r="22" spans="2:14">
      <c r="B22" s="87"/>
      <c r="C22" s="87"/>
      <c r="D22" s="87"/>
      <c r="E22" s="87"/>
      <c r="F22" s="87"/>
      <c r="G22" s="87"/>
      <c r="H22" s="87"/>
      <c r="I22" s="87"/>
      <c r="J22" s="87"/>
      <c r="K22" s="87"/>
      <c r="L22" s="87"/>
      <c r="M22" s="87"/>
      <c r="N22" s="87"/>
    </row>
  </sheetData>
  <mergeCells count="1">
    <mergeCell ref="B2:P2"/>
  </mergeCells>
  <phoneticPr fontId="4"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1C26-3EE7-4AC5-BA5B-E27751154BD9}">
  <dimension ref="A1:O26"/>
  <sheetViews>
    <sheetView tabSelected="1" zoomScaleNormal="100" workbookViewId="0">
      <selection activeCell="B3" sqref="B3"/>
    </sheetView>
  </sheetViews>
  <sheetFormatPr defaultRowHeight="17"/>
  <cols>
    <col min="1" max="1" width="10.5" bestFit="1" customWidth="1"/>
    <col min="2" max="3" width="15.58203125" customWidth="1"/>
    <col min="4" max="4" width="24.08203125" bestFit="1" customWidth="1"/>
    <col min="5" max="5" width="13" bestFit="1" customWidth="1"/>
    <col min="6" max="6" width="15.58203125" style="116" customWidth="1"/>
    <col min="7" max="7" width="19.33203125" bestFit="1" customWidth="1"/>
    <col min="8" max="11" width="15.58203125" customWidth="1"/>
    <col min="12" max="12" width="37.75" bestFit="1" customWidth="1"/>
    <col min="13" max="13" width="56.9140625" bestFit="1" customWidth="1"/>
    <col min="14" max="14" width="25" customWidth="1"/>
    <col min="15" max="15" width="24.58203125" customWidth="1"/>
    <col min="16" max="16" width="24.33203125" customWidth="1"/>
    <col min="17" max="61" width="15.58203125" customWidth="1"/>
  </cols>
  <sheetData>
    <row r="1" spans="1:15">
      <c r="A1" t="s">
        <v>657</v>
      </c>
    </row>
    <row r="2" spans="1:15">
      <c r="B2" s="158" t="s">
        <v>704</v>
      </c>
      <c r="C2" s="158"/>
      <c r="D2" s="158"/>
      <c r="E2" s="158"/>
      <c r="F2" s="158"/>
      <c r="G2" s="158"/>
      <c r="H2" s="158"/>
      <c r="I2" s="158"/>
      <c r="J2" s="158"/>
      <c r="K2" s="158"/>
      <c r="L2" s="158"/>
      <c r="M2" s="158"/>
      <c r="N2" s="158"/>
      <c r="O2" s="158"/>
    </row>
    <row r="3" spans="1:15">
      <c r="A3" t="s">
        <v>888</v>
      </c>
      <c r="B3" t="s">
        <v>894</v>
      </c>
    </row>
    <row r="4" spans="1:15">
      <c r="A4" t="s">
        <v>658</v>
      </c>
      <c r="B4" t="s">
        <v>85</v>
      </c>
      <c r="C4" t="s">
        <v>86</v>
      </c>
      <c r="D4" t="s">
        <v>85</v>
      </c>
      <c r="E4" t="s">
        <v>85</v>
      </c>
      <c r="F4" s="116" t="s">
        <v>85</v>
      </c>
      <c r="G4" t="s">
        <v>85</v>
      </c>
      <c r="H4" t="s">
        <v>85</v>
      </c>
      <c r="I4" t="s">
        <v>85</v>
      </c>
    </row>
    <row r="5" spans="1:15">
      <c r="A5" t="s">
        <v>660</v>
      </c>
      <c r="B5" t="s">
        <v>742</v>
      </c>
      <c r="C5" t="s">
        <v>743</v>
      </c>
      <c r="D5" t="s">
        <v>744</v>
      </c>
      <c r="E5" t="s">
        <v>745</v>
      </c>
      <c r="F5" s="116" t="s">
        <v>749</v>
      </c>
      <c r="G5" t="s">
        <v>746</v>
      </c>
      <c r="H5" t="s">
        <v>747</v>
      </c>
      <c r="I5" t="s">
        <v>748</v>
      </c>
    </row>
    <row r="6" spans="1:15">
      <c r="A6" t="s">
        <v>661</v>
      </c>
      <c r="B6">
        <v>1</v>
      </c>
      <c r="C6" t="s">
        <v>369</v>
      </c>
      <c r="D6" s="116">
        <v>0</v>
      </c>
      <c r="F6" s="116">
        <v>5010</v>
      </c>
      <c r="G6">
        <v>2010</v>
      </c>
      <c r="H6">
        <v>3010</v>
      </c>
      <c r="I6">
        <v>4010</v>
      </c>
    </row>
    <row r="7" spans="1:15">
      <c r="B7">
        <v>2</v>
      </c>
      <c r="C7" t="s">
        <v>368</v>
      </c>
      <c r="D7" s="116">
        <v>40</v>
      </c>
      <c r="E7">
        <v>10</v>
      </c>
      <c r="F7" s="116">
        <v>5020</v>
      </c>
      <c r="G7" s="116">
        <v>2020</v>
      </c>
      <c r="H7" s="116">
        <v>3020</v>
      </c>
      <c r="I7" s="116">
        <v>4020</v>
      </c>
    </row>
    <row r="8" spans="1:15">
      <c r="B8">
        <v>3</v>
      </c>
      <c r="C8" t="s">
        <v>367</v>
      </c>
      <c r="D8" s="116">
        <v>80</v>
      </c>
      <c r="E8">
        <v>10</v>
      </c>
      <c r="F8" s="116">
        <v>5030</v>
      </c>
      <c r="G8" s="116">
        <v>2030</v>
      </c>
      <c r="H8" s="116">
        <v>3030</v>
      </c>
      <c r="I8" s="116">
        <v>4030</v>
      </c>
    </row>
    <row r="9" spans="1:15">
      <c r="B9">
        <v>4</v>
      </c>
      <c r="C9" t="s">
        <v>366</v>
      </c>
      <c r="D9" s="116">
        <v>150</v>
      </c>
      <c r="E9">
        <v>10</v>
      </c>
      <c r="F9" s="116">
        <v>5040</v>
      </c>
      <c r="G9" s="116">
        <v>2040</v>
      </c>
      <c r="H9" s="116">
        <v>3040</v>
      </c>
      <c r="I9" s="116">
        <v>4040</v>
      </c>
    </row>
    <row r="10" spans="1:15">
      <c r="B10">
        <v>5</v>
      </c>
      <c r="C10" t="s">
        <v>365</v>
      </c>
      <c r="D10" s="116">
        <v>240</v>
      </c>
      <c r="E10">
        <v>10</v>
      </c>
      <c r="F10" s="116">
        <v>5050</v>
      </c>
      <c r="G10" s="116">
        <v>2050</v>
      </c>
      <c r="H10" s="116">
        <v>3050</v>
      </c>
      <c r="I10" s="116">
        <v>4050</v>
      </c>
    </row>
    <row r="11" spans="1:15">
      <c r="B11">
        <v>6</v>
      </c>
      <c r="C11" t="s">
        <v>364</v>
      </c>
      <c r="D11" s="116">
        <v>330</v>
      </c>
      <c r="E11">
        <v>10</v>
      </c>
      <c r="F11" s="116">
        <v>5060</v>
      </c>
      <c r="G11" s="116">
        <v>2060</v>
      </c>
      <c r="H11" s="116">
        <v>3060</v>
      </c>
      <c r="I11" s="116">
        <v>4060</v>
      </c>
    </row>
    <row r="12" spans="1:15">
      <c r="B12">
        <v>7</v>
      </c>
      <c r="C12" t="s">
        <v>819</v>
      </c>
      <c r="D12" s="116">
        <v>450</v>
      </c>
      <c r="E12">
        <v>10</v>
      </c>
      <c r="F12" s="116">
        <v>5070</v>
      </c>
      <c r="G12" s="116">
        <v>2070</v>
      </c>
      <c r="H12" s="116">
        <v>3070</v>
      </c>
      <c r="I12" s="116">
        <v>4070</v>
      </c>
    </row>
    <row r="13" spans="1:15">
      <c r="B13">
        <v>8</v>
      </c>
      <c r="C13" t="s">
        <v>820</v>
      </c>
      <c r="D13" s="116">
        <v>570</v>
      </c>
      <c r="E13">
        <v>20</v>
      </c>
    </row>
    <row r="15" spans="1:15">
      <c r="A15" t="s">
        <v>662</v>
      </c>
    </row>
    <row r="16" spans="1:15">
      <c r="A16" t="s">
        <v>657</v>
      </c>
      <c r="B16" t="s">
        <v>20</v>
      </c>
      <c r="C16" t="s">
        <v>741</v>
      </c>
      <c r="D16" t="s">
        <v>363</v>
      </c>
      <c r="E16" t="s">
        <v>430</v>
      </c>
      <c r="F16" s="116" t="s">
        <v>740</v>
      </c>
      <c r="G16" t="s">
        <v>737</v>
      </c>
      <c r="H16" t="s">
        <v>738</v>
      </c>
      <c r="I16" t="s">
        <v>739</v>
      </c>
    </row>
    <row r="18" spans="2:8" s="116" customFormat="1">
      <c r="B18" s="116" t="s">
        <v>821</v>
      </c>
      <c r="C18" s="116" t="s">
        <v>823</v>
      </c>
      <c r="D18" s="116" t="s">
        <v>824</v>
      </c>
      <c r="E18" s="116" t="s">
        <v>825</v>
      </c>
      <c r="F18" s="116" t="s">
        <v>822</v>
      </c>
    </row>
    <row r="19" spans="2:8">
      <c r="B19" s="116">
        <v>1</v>
      </c>
      <c r="C19">
        <v>0</v>
      </c>
      <c r="F19" s="47">
        <f>SUM(C19:E19)</f>
        <v>0</v>
      </c>
      <c r="H19">
        <v>0</v>
      </c>
    </row>
    <row r="20" spans="2:8">
      <c r="B20" s="116">
        <v>2</v>
      </c>
      <c r="C20">
        <v>2</v>
      </c>
      <c r="D20">
        <v>1</v>
      </c>
      <c r="F20" s="47">
        <f t="shared" ref="F20:F26" si="0">SUM(C20:E20)</f>
        <v>3</v>
      </c>
      <c r="G20">
        <v>40</v>
      </c>
      <c r="H20">
        <f>H19+G20</f>
        <v>40</v>
      </c>
    </row>
    <row r="21" spans="2:8">
      <c r="B21" s="116">
        <v>3</v>
      </c>
      <c r="D21">
        <v>2</v>
      </c>
      <c r="F21" s="47">
        <f t="shared" si="0"/>
        <v>2</v>
      </c>
      <c r="G21">
        <v>40</v>
      </c>
      <c r="H21" s="116">
        <f t="shared" ref="H21:H26" si="1">H20+G21</f>
        <v>80</v>
      </c>
    </row>
    <row r="22" spans="2:8">
      <c r="B22" s="116">
        <v>4</v>
      </c>
      <c r="D22">
        <v>2</v>
      </c>
      <c r="E22">
        <v>1</v>
      </c>
      <c r="F22" s="47">
        <f t="shared" si="0"/>
        <v>3</v>
      </c>
      <c r="G22">
        <v>70</v>
      </c>
      <c r="H22" s="116">
        <f t="shared" si="1"/>
        <v>150</v>
      </c>
    </row>
    <row r="23" spans="2:8">
      <c r="B23" s="116">
        <v>5</v>
      </c>
      <c r="E23">
        <v>3</v>
      </c>
      <c r="F23" s="47">
        <f t="shared" si="0"/>
        <v>3</v>
      </c>
      <c r="G23">
        <v>90</v>
      </c>
      <c r="H23" s="116">
        <f t="shared" si="1"/>
        <v>240</v>
      </c>
    </row>
    <row r="24" spans="2:8">
      <c r="B24" s="116">
        <v>6</v>
      </c>
      <c r="E24">
        <v>3</v>
      </c>
      <c r="F24" s="47">
        <f t="shared" si="0"/>
        <v>3</v>
      </c>
      <c r="G24">
        <v>90</v>
      </c>
      <c r="H24" s="116">
        <f t="shared" si="1"/>
        <v>330</v>
      </c>
    </row>
    <row r="25" spans="2:8">
      <c r="B25" s="116">
        <v>7</v>
      </c>
      <c r="E25">
        <v>4</v>
      </c>
      <c r="F25" s="47">
        <f t="shared" si="0"/>
        <v>4</v>
      </c>
      <c r="G25">
        <v>120</v>
      </c>
      <c r="H25" s="116">
        <f t="shared" si="1"/>
        <v>450</v>
      </c>
    </row>
    <row r="26" spans="2:8">
      <c r="B26" s="116">
        <v>8</v>
      </c>
      <c r="E26">
        <v>4</v>
      </c>
      <c r="F26" s="47">
        <f t="shared" si="0"/>
        <v>4</v>
      </c>
      <c r="G26">
        <v>120</v>
      </c>
      <c r="H26" s="116">
        <f t="shared" si="1"/>
        <v>570</v>
      </c>
    </row>
  </sheetData>
  <mergeCells count="1">
    <mergeCell ref="B2:O2"/>
  </mergeCells>
  <phoneticPr fontId="4"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3CDE-B8EE-44FD-84B5-59FEDEA01742}">
  <dimension ref="A1:AG22"/>
  <sheetViews>
    <sheetView zoomScaleNormal="100" workbookViewId="0">
      <selection activeCell="B3" sqref="B3"/>
    </sheetView>
  </sheetViews>
  <sheetFormatPr defaultRowHeight="17"/>
  <cols>
    <col min="1" max="1" width="10.5" bestFit="1" customWidth="1"/>
    <col min="2" max="3" width="15.58203125" customWidth="1"/>
    <col min="4" max="4" width="25.4140625" customWidth="1"/>
    <col min="5" max="5" width="14.08203125" bestFit="1" customWidth="1"/>
    <col min="6" max="12" width="15.58203125" customWidth="1"/>
    <col min="13" max="13" width="37.75" bestFit="1" customWidth="1"/>
    <col min="14" max="14" width="36.33203125" bestFit="1" customWidth="1"/>
    <col min="15" max="15" width="25" customWidth="1"/>
    <col min="16" max="16" width="24.58203125" customWidth="1"/>
    <col min="17" max="17" width="36.33203125" bestFit="1" customWidth="1"/>
    <col min="18" max="18" width="39.33203125" bestFit="1" customWidth="1"/>
    <col min="19" max="19" width="61.75" bestFit="1" customWidth="1"/>
    <col min="20" max="20" width="46.08203125" bestFit="1" customWidth="1"/>
    <col min="21" max="31" width="15.58203125" customWidth="1"/>
    <col min="32" max="32" width="70.25" customWidth="1"/>
    <col min="33" max="62" width="15.58203125" customWidth="1"/>
  </cols>
  <sheetData>
    <row r="1" spans="1:33">
      <c r="A1" t="s">
        <v>657</v>
      </c>
    </row>
    <row r="2" spans="1:33">
      <c r="B2" s="158" t="s">
        <v>708</v>
      </c>
      <c r="C2" s="158"/>
      <c r="D2" s="158"/>
      <c r="E2" s="158"/>
      <c r="F2" s="158"/>
      <c r="G2" s="158"/>
      <c r="H2" s="158"/>
      <c r="I2" s="158"/>
      <c r="J2" s="158"/>
      <c r="K2" s="158"/>
      <c r="L2" s="158"/>
      <c r="M2" s="158"/>
      <c r="N2" s="158"/>
      <c r="O2" s="158"/>
      <c r="P2" s="158"/>
    </row>
    <row r="3" spans="1:33">
      <c r="A3" t="s">
        <v>888</v>
      </c>
      <c r="B3" t="s">
        <v>890</v>
      </c>
    </row>
    <row r="4" spans="1:33">
      <c r="A4" t="s">
        <v>658</v>
      </c>
      <c r="B4" t="s">
        <v>85</v>
      </c>
      <c r="C4" t="s">
        <v>86</v>
      </c>
      <c r="D4" t="s">
        <v>86</v>
      </c>
      <c r="E4" t="s">
        <v>85</v>
      </c>
      <c r="F4" t="s">
        <v>85</v>
      </c>
      <c r="G4" t="s">
        <v>85</v>
      </c>
      <c r="H4" t="s">
        <v>659</v>
      </c>
      <c r="I4" t="s">
        <v>659</v>
      </c>
      <c r="J4" t="s">
        <v>659</v>
      </c>
      <c r="K4" t="s">
        <v>85</v>
      </c>
      <c r="L4" t="s">
        <v>86</v>
      </c>
      <c r="M4" t="s">
        <v>86</v>
      </c>
      <c r="N4" s="106" t="s">
        <v>85</v>
      </c>
      <c r="O4" s="106" t="s">
        <v>85</v>
      </c>
      <c r="P4" s="106" t="s">
        <v>85</v>
      </c>
      <c r="Q4" s="106" t="s">
        <v>85</v>
      </c>
      <c r="R4" s="106" t="s">
        <v>101</v>
      </c>
      <c r="S4" s="106" t="s">
        <v>85</v>
      </c>
      <c r="T4" s="106" t="s">
        <v>85</v>
      </c>
      <c r="U4" s="106" t="s">
        <v>659</v>
      </c>
      <c r="V4" t="s">
        <v>86</v>
      </c>
      <c r="W4" t="s">
        <v>86</v>
      </c>
      <c r="X4" s="106" t="s">
        <v>85</v>
      </c>
      <c r="Y4" s="106" t="s">
        <v>85</v>
      </c>
      <c r="Z4" s="106" t="s">
        <v>85</v>
      </c>
      <c r="AA4" s="106" t="s">
        <v>85</v>
      </c>
      <c r="AB4" s="106" t="s">
        <v>101</v>
      </c>
      <c r="AC4" s="106" t="s">
        <v>85</v>
      </c>
      <c r="AD4" s="106" t="s">
        <v>85</v>
      </c>
      <c r="AE4" s="106" t="s">
        <v>659</v>
      </c>
      <c r="AF4" s="96" t="s">
        <v>86</v>
      </c>
      <c r="AG4" s="96" t="s">
        <v>85</v>
      </c>
    </row>
    <row r="5" spans="1:33">
      <c r="A5" t="s">
        <v>660</v>
      </c>
      <c r="B5" t="s">
        <v>96</v>
      </c>
      <c r="C5" t="s">
        <v>104</v>
      </c>
      <c r="D5" t="s">
        <v>151</v>
      </c>
      <c r="E5" t="s">
        <v>379</v>
      </c>
      <c r="F5" t="s">
        <v>378</v>
      </c>
      <c r="G5" t="s">
        <v>377</v>
      </c>
      <c r="H5" t="s">
        <v>2</v>
      </c>
      <c r="I5" t="s">
        <v>5</v>
      </c>
      <c r="J5" t="s">
        <v>139</v>
      </c>
      <c r="K5" t="s">
        <v>3</v>
      </c>
      <c r="L5" t="s">
        <v>153</v>
      </c>
      <c r="M5" t="s">
        <v>154</v>
      </c>
      <c r="N5" t="s">
        <v>201</v>
      </c>
      <c r="O5" t="s">
        <v>202</v>
      </c>
      <c r="P5" t="s">
        <v>417</v>
      </c>
      <c r="Q5" t="s">
        <v>203</v>
      </c>
      <c r="R5" t="s">
        <v>291</v>
      </c>
      <c r="S5" t="s">
        <v>292</v>
      </c>
      <c r="T5" t="s">
        <v>293</v>
      </c>
      <c r="U5" t="s">
        <v>204</v>
      </c>
      <c r="V5" t="s">
        <v>158</v>
      </c>
      <c r="W5" t="s">
        <v>159</v>
      </c>
      <c r="X5" t="s">
        <v>205</v>
      </c>
      <c r="Y5" t="s">
        <v>206</v>
      </c>
      <c r="Z5" t="s">
        <v>418</v>
      </c>
      <c r="AA5" t="s">
        <v>207</v>
      </c>
      <c r="AB5" t="s">
        <v>294</v>
      </c>
      <c r="AC5" t="s">
        <v>295</v>
      </c>
      <c r="AD5" t="s">
        <v>296</v>
      </c>
      <c r="AE5" t="s">
        <v>208</v>
      </c>
      <c r="AF5" t="s">
        <v>102</v>
      </c>
      <c r="AG5" t="s">
        <v>252</v>
      </c>
    </row>
    <row r="6" spans="1:33">
      <c r="A6" t="s">
        <v>661</v>
      </c>
      <c r="B6">
        <v>20001</v>
      </c>
      <c r="C6" t="s">
        <v>470</v>
      </c>
      <c r="D6" t="s">
        <v>462</v>
      </c>
      <c r="E6">
        <v>10</v>
      </c>
      <c r="F6">
        <v>5</v>
      </c>
      <c r="G6">
        <v>5</v>
      </c>
      <c r="H6" s="108">
        <v>0.1</v>
      </c>
      <c r="I6" s="108">
        <v>0.1</v>
      </c>
      <c r="J6" s="108">
        <v>0.1</v>
      </c>
      <c r="K6">
        <v>2</v>
      </c>
      <c r="L6" t="s">
        <v>463</v>
      </c>
      <c r="M6" t="s">
        <v>303</v>
      </c>
      <c r="N6">
        <v>0</v>
      </c>
      <c r="O6">
        <v>0</v>
      </c>
      <c r="P6">
        <v>0</v>
      </c>
      <c r="Q6">
        <v>0</v>
      </c>
      <c r="U6" s="108">
        <v>1</v>
      </c>
      <c r="V6" t="s">
        <v>710</v>
      </c>
      <c r="W6" t="s">
        <v>304</v>
      </c>
      <c r="X6">
        <v>0</v>
      </c>
      <c r="Y6">
        <v>0</v>
      </c>
      <c r="Z6">
        <v>0</v>
      </c>
      <c r="AA6">
        <v>1</v>
      </c>
      <c r="AB6" t="s">
        <v>498</v>
      </c>
      <c r="AC6">
        <v>0</v>
      </c>
      <c r="AE6" s="108">
        <v>0.5</v>
      </c>
      <c r="AF6" t="s">
        <v>19</v>
      </c>
      <c r="AG6">
        <v>10</v>
      </c>
    </row>
    <row r="7" spans="1:33">
      <c r="B7">
        <v>20002</v>
      </c>
      <c r="C7" t="s">
        <v>471</v>
      </c>
      <c r="D7" t="s">
        <v>464</v>
      </c>
      <c r="E7">
        <v>20</v>
      </c>
      <c r="F7">
        <v>12</v>
      </c>
      <c r="G7">
        <v>12</v>
      </c>
      <c r="H7" s="108">
        <v>0.2</v>
      </c>
      <c r="I7" s="108">
        <v>0.15</v>
      </c>
      <c r="J7" s="108">
        <v>0.15</v>
      </c>
      <c r="K7">
        <v>3</v>
      </c>
      <c r="L7" t="s">
        <v>465</v>
      </c>
      <c r="M7" t="s">
        <v>156</v>
      </c>
      <c r="N7">
        <v>0</v>
      </c>
      <c r="O7">
        <v>1</v>
      </c>
      <c r="P7">
        <v>1</v>
      </c>
      <c r="Q7">
        <v>0</v>
      </c>
      <c r="U7" s="108">
        <v>1.3</v>
      </c>
      <c r="V7" t="s">
        <v>466</v>
      </c>
      <c r="W7" t="s">
        <v>15</v>
      </c>
      <c r="X7">
        <v>1</v>
      </c>
      <c r="AA7">
        <v>0</v>
      </c>
      <c r="AE7" s="108">
        <v>50</v>
      </c>
      <c r="AF7" t="s">
        <v>18</v>
      </c>
      <c r="AG7">
        <v>20</v>
      </c>
    </row>
    <row r="8" spans="1:33">
      <c r="B8">
        <v>20003</v>
      </c>
      <c r="C8" t="s">
        <v>472</v>
      </c>
      <c r="D8" t="s">
        <v>467</v>
      </c>
      <c r="E8">
        <v>50</v>
      </c>
      <c r="F8">
        <v>20</v>
      </c>
      <c r="G8">
        <v>18</v>
      </c>
      <c r="H8" s="108">
        <v>0.25</v>
      </c>
      <c r="I8" s="108">
        <v>0.2</v>
      </c>
      <c r="J8" s="108">
        <v>0.2</v>
      </c>
      <c r="K8">
        <v>1</v>
      </c>
      <c r="L8" t="s">
        <v>468</v>
      </c>
      <c r="M8" t="s">
        <v>156</v>
      </c>
      <c r="N8">
        <v>0</v>
      </c>
      <c r="O8">
        <v>1</v>
      </c>
      <c r="P8">
        <v>1</v>
      </c>
      <c r="Q8">
        <v>0</v>
      </c>
      <c r="U8" s="108">
        <v>1</v>
      </c>
      <c r="V8" t="s">
        <v>469</v>
      </c>
      <c r="W8" t="s">
        <v>16</v>
      </c>
      <c r="X8">
        <v>0</v>
      </c>
      <c r="Y8">
        <v>1</v>
      </c>
      <c r="Z8">
        <v>1</v>
      </c>
      <c r="AA8">
        <v>2</v>
      </c>
      <c r="AE8" s="108">
        <v>0.8</v>
      </c>
      <c r="AF8" t="s">
        <v>17</v>
      </c>
      <c r="AG8">
        <v>30</v>
      </c>
    </row>
    <row r="10" spans="1:33">
      <c r="A10" t="s">
        <v>662</v>
      </c>
      <c r="B10" t="s">
        <v>140</v>
      </c>
      <c r="C10" t="s">
        <v>103</v>
      </c>
      <c r="D10" t="s">
        <v>709</v>
      </c>
      <c r="E10" t="s">
        <v>371</v>
      </c>
      <c r="F10" t="s">
        <v>347</v>
      </c>
      <c r="G10" t="s">
        <v>348</v>
      </c>
      <c r="H10" t="s">
        <v>8</v>
      </c>
      <c r="I10" t="s">
        <v>7</v>
      </c>
      <c r="J10" t="s">
        <v>6</v>
      </c>
      <c r="K10" t="s">
        <v>4</v>
      </c>
      <c r="L10" t="s">
        <v>165</v>
      </c>
      <c r="M10" t="s">
        <v>155</v>
      </c>
      <c r="N10" t="s">
        <v>494</v>
      </c>
      <c r="O10" t="s">
        <v>196</v>
      </c>
      <c r="P10" t="s">
        <v>420</v>
      </c>
      <c r="Q10" t="s">
        <v>197</v>
      </c>
      <c r="R10" t="s">
        <v>297</v>
      </c>
      <c r="S10" t="s">
        <v>298</v>
      </c>
      <c r="T10" t="s">
        <v>299</v>
      </c>
      <c r="U10" t="s">
        <v>200</v>
      </c>
      <c r="V10" t="s">
        <v>166</v>
      </c>
      <c r="W10" t="s">
        <v>157</v>
      </c>
      <c r="X10" t="s">
        <v>495</v>
      </c>
      <c r="Y10" t="s">
        <v>412</v>
      </c>
      <c r="Z10" t="s">
        <v>419</v>
      </c>
      <c r="AA10" t="s">
        <v>198</v>
      </c>
      <c r="AB10" t="s">
        <v>300</v>
      </c>
      <c r="AC10" t="s">
        <v>301</v>
      </c>
      <c r="AD10" t="s">
        <v>302</v>
      </c>
      <c r="AE10" t="s">
        <v>199</v>
      </c>
      <c r="AF10" t="s">
        <v>164</v>
      </c>
      <c r="AG10" t="s">
        <v>251</v>
      </c>
    </row>
    <row r="11" spans="1:33">
      <c r="A11" t="s">
        <v>657</v>
      </c>
    </row>
    <row r="18" spans="3:12">
      <c r="C18" s="119" t="s">
        <v>802</v>
      </c>
      <c r="D18" s="119"/>
      <c r="E18" s="124" t="s">
        <v>791</v>
      </c>
      <c r="F18" s="119" t="s">
        <v>792</v>
      </c>
      <c r="G18" s="124" t="s">
        <v>793</v>
      </c>
      <c r="H18" s="119" t="s">
        <v>794</v>
      </c>
      <c r="I18" s="124" t="s">
        <v>795</v>
      </c>
      <c r="J18" s="119" t="s">
        <v>796</v>
      </c>
      <c r="K18" s="119" t="s">
        <v>797</v>
      </c>
      <c r="L18" s="119" t="s">
        <v>798</v>
      </c>
    </row>
    <row r="19" spans="3:12">
      <c r="C19" s="119" t="s">
        <v>801</v>
      </c>
      <c r="D19" s="123">
        <v>2</v>
      </c>
      <c r="E19" s="124">
        <v>6</v>
      </c>
      <c r="F19" s="119">
        <v>8</v>
      </c>
      <c r="G19" s="124">
        <v>10</v>
      </c>
      <c r="H19" s="119">
        <v>12</v>
      </c>
      <c r="I19" s="124">
        <v>14</v>
      </c>
      <c r="J19" s="119">
        <v>16</v>
      </c>
      <c r="K19" s="119">
        <v>18</v>
      </c>
      <c r="L19" s="119">
        <v>20</v>
      </c>
    </row>
    <row r="20" spans="3:12">
      <c r="C20" s="119" t="s">
        <v>800</v>
      </c>
      <c r="D20" s="123">
        <v>4</v>
      </c>
      <c r="E20" s="124">
        <v>9</v>
      </c>
      <c r="F20" s="119">
        <v>13</v>
      </c>
      <c r="G20" s="124">
        <v>17</v>
      </c>
      <c r="H20" s="119">
        <v>21</v>
      </c>
      <c r="I20" s="124">
        <v>25</v>
      </c>
      <c r="J20" s="119">
        <v>29</v>
      </c>
      <c r="K20" s="119">
        <v>33</v>
      </c>
      <c r="L20" s="119">
        <v>37</v>
      </c>
    </row>
    <row r="21" spans="3:12">
      <c r="C21" s="119" t="s">
        <v>799</v>
      </c>
      <c r="D21" s="123">
        <v>4</v>
      </c>
      <c r="E21" s="124">
        <v>5</v>
      </c>
      <c r="F21" s="119">
        <v>9</v>
      </c>
      <c r="G21" s="124">
        <v>13</v>
      </c>
      <c r="H21" s="119">
        <v>17</v>
      </c>
      <c r="I21" s="124">
        <v>21</v>
      </c>
      <c r="J21" s="119">
        <v>25</v>
      </c>
      <c r="K21" s="119">
        <v>29</v>
      </c>
      <c r="L21" s="119">
        <v>33</v>
      </c>
    </row>
    <row r="22" spans="3:12">
      <c r="E22">
        <f>SUM(E19:E21)</f>
        <v>20</v>
      </c>
      <c r="G22">
        <f>SUM(G19:G21)</f>
        <v>40</v>
      </c>
      <c r="I22">
        <f>SUM(I19:I21)</f>
        <v>60</v>
      </c>
    </row>
  </sheetData>
  <mergeCells count="1">
    <mergeCell ref="B2:P2"/>
  </mergeCells>
  <phoneticPr fontId="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DF60A-F095-4C28-828C-CEB785E5E4E9}">
  <dimension ref="A1:L39"/>
  <sheetViews>
    <sheetView zoomScaleNormal="100" workbookViewId="0">
      <selection activeCell="B3" sqref="B3"/>
    </sheetView>
  </sheetViews>
  <sheetFormatPr defaultColWidth="9" defaultRowHeight="17"/>
  <cols>
    <col min="1" max="1" width="26.6640625" style="125" bestFit="1" customWidth="1"/>
    <col min="2" max="36" width="15.58203125" style="125" customWidth="1"/>
    <col min="37" max="16384" width="9" style="125"/>
  </cols>
  <sheetData>
    <row r="1" spans="1:12">
      <c r="A1" s="125" t="s">
        <v>657</v>
      </c>
    </row>
    <row r="2" spans="1:12">
      <c r="B2" s="159" t="s">
        <v>826</v>
      </c>
      <c r="C2" s="159"/>
    </row>
    <row r="3" spans="1:12">
      <c r="A3" s="142" t="s">
        <v>888</v>
      </c>
      <c r="B3" s="142" t="s">
        <v>893</v>
      </c>
    </row>
    <row r="4" spans="1:12">
      <c r="A4" s="125" t="s">
        <v>658</v>
      </c>
      <c r="B4" s="125" t="s">
        <v>85</v>
      </c>
      <c r="C4" s="125" t="s">
        <v>85</v>
      </c>
      <c r="D4" s="125" t="s">
        <v>85</v>
      </c>
      <c r="E4" s="125" t="s">
        <v>85</v>
      </c>
      <c r="F4" s="125" t="s">
        <v>85</v>
      </c>
      <c r="G4" s="125" t="s">
        <v>85</v>
      </c>
      <c r="H4" s="125" t="s">
        <v>85</v>
      </c>
      <c r="I4" s="125" t="s">
        <v>85</v>
      </c>
      <c r="J4" s="125" t="s">
        <v>85</v>
      </c>
      <c r="K4" s="125" t="s">
        <v>85</v>
      </c>
      <c r="L4" s="125" t="s">
        <v>85</v>
      </c>
    </row>
    <row r="5" spans="1:12">
      <c r="A5" s="125" t="s">
        <v>660</v>
      </c>
      <c r="B5" s="125" t="s">
        <v>96</v>
      </c>
      <c r="C5" s="125" t="s">
        <v>827</v>
      </c>
      <c r="D5" s="125" t="s">
        <v>828</v>
      </c>
      <c r="E5" s="125" t="s">
        <v>829</v>
      </c>
      <c r="F5" s="125" t="s">
        <v>830</v>
      </c>
      <c r="G5" s="125" t="s">
        <v>831</v>
      </c>
      <c r="H5" s="125" t="s">
        <v>832</v>
      </c>
      <c r="I5" s="125" t="s">
        <v>833</v>
      </c>
      <c r="J5" s="125" t="s">
        <v>834</v>
      </c>
      <c r="K5" s="125" t="s">
        <v>835</v>
      </c>
      <c r="L5" s="125" t="s">
        <v>836</v>
      </c>
    </row>
    <row r="6" spans="1:12">
      <c r="A6" s="125" t="s">
        <v>661</v>
      </c>
      <c r="B6" s="125">
        <v>30001</v>
      </c>
      <c r="C6" s="125">
        <v>20001</v>
      </c>
      <c r="D6" s="125">
        <v>1</v>
      </c>
      <c r="E6" s="125">
        <v>20001</v>
      </c>
      <c r="F6" s="125">
        <v>3</v>
      </c>
    </row>
    <row r="7" spans="1:12">
      <c r="B7" s="125">
        <v>30002</v>
      </c>
      <c r="C7" s="125">
        <v>20001</v>
      </c>
      <c r="D7" s="125">
        <v>1</v>
      </c>
      <c r="E7" s="125">
        <v>20001</v>
      </c>
      <c r="F7" s="125">
        <v>4</v>
      </c>
      <c r="G7" s="125">
        <v>20001</v>
      </c>
      <c r="H7" s="125">
        <v>6</v>
      </c>
    </row>
    <row r="8" spans="1:12">
      <c r="B8" s="125">
        <v>30003</v>
      </c>
      <c r="C8" s="125">
        <v>20001</v>
      </c>
      <c r="D8" s="125">
        <v>1</v>
      </c>
      <c r="E8" s="125">
        <v>20001</v>
      </c>
      <c r="F8" s="125">
        <v>3</v>
      </c>
      <c r="G8" s="125">
        <v>20002</v>
      </c>
      <c r="H8" s="125">
        <v>5</v>
      </c>
    </row>
    <row r="9" spans="1:12">
      <c r="B9" s="125">
        <v>30004</v>
      </c>
      <c r="C9" s="125">
        <v>20001</v>
      </c>
      <c r="D9" s="125">
        <v>1</v>
      </c>
      <c r="E9" s="125">
        <v>20001</v>
      </c>
      <c r="F9" s="125">
        <v>3</v>
      </c>
      <c r="G9" s="125">
        <v>20002</v>
      </c>
      <c r="H9" s="125">
        <v>4</v>
      </c>
      <c r="I9" s="125">
        <v>20002</v>
      </c>
      <c r="J9" s="125">
        <v>6</v>
      </c>
    </row>
    <row r="10" spans="1:12">
      <c r="B10" s="125">
        <v>30005</v>
      </c>
      <c r="C10" s="125">
        <v>20001</v>
      </c>
      <c r="D10" s="125">
        <v>1</v>
      </c>
      <c r="E10" s="125">
        <v>20001</v>
      </c>
      <c r="F10" s="125">
        <v>3</v>
      </c>
      <c r="G10" s="125">
        <v>20002</v>
      </c>
      <c r="H10" s="125">
        <v>4</v>
      </c>
      <c r="I10" s="125">
        <v>20002</v>
      </c>
      <c r="J10" s="125">
        <v>6</v>
      </c>
      <c r="K10" s="125">
        <v>20003</v>
      </c>
      <c r="L10" s="125">
        <v>5</v>
      </c>
    </row>
    <row r="13" spans="1:12" ht="68">
      <c r="A13" s="125" t="s">
        <v>662</v>
      </c>
      <c r="B13" s="125" t="s">
        <v>140</v>
      </c>
      <c r="C13" s="126" t="s">
        <v>837</v>
      </c>
      <c r="D13" s="126" t="s">
        <v>838</v>
      </c>
    </row>
    <row r="14" spans="1:12">
      <c r="A14" s="125" t="s">
        <v>657</v>
      </c>
    </row>
    <row r="15" spans="1:12">
      <c r="C15" s="127" t="s">
        <v>839</v>
      </c>
      <c r="D15" s="128">
        <v>1</v>
      </c>
      <c r="E15" s="129">
        <v>4</v>
      </c>
    </row>
    <row r="16" spans="1:12">
      <c r="C16" s="127" t="s">
        <v>840</v>
      </c>
      <c r="D16" s="128">
        <v>2</v>
      </c>
      <c r="E16" s="129">
        <v>5</v>
      </c>
    </row>
    <row r="17" spans="3:5">
      <c r="C17" s="127" t="s">
        <v>841</v>
      </c>
      <c r="D17" s="128">
        <v>3</v>
      </c>
      <c r="E17" s="129">
        <v>6</v>
      </c>
    </row>
    <row r="18" spans="3:5">
      <c r="C18" s="127" t="s">
        <v>842</v>
      </c>
      <c r="D18" s="127"/>
    </row>
    <row r="19" spans="3:5">
      <c r="C19" s="127" t="s">
        <v>843</v>
      </c>
      <c r="D19" s="127"/>
    </row>
    <row r="21" spans="3:5">
      <c r="D21" s="130" t="s">
        <v>844</v>
      </c>
      <c r="E21" s="131"/>
    </row>
    <row r="22" spans="3:5">
      <c r="D22" s="130"/>
      <c r="E22" s="131"/>
    </row>
    <row r="23" spans="3:5">
      <c r="D23" s="130" t="s">
        <v>844</v>
      </c>
      <c r="E23" s="131"/>
    </row>
    <row r="25" spans="3:5">
      <c r="D25" s="130"/>
      <c r="E25" s="131" t="s">
        <v>844</v>
      </c>
    </row>
    <row r="26" spans="3:5">
      <c r="D26" s="130" t="s">
        <v>844</v>
      </c>
      <c r="E26" s="131"/>
    </row>
    <row r="27" spans="3:5">
      <c r="D27" s="130"/>
      <c r="E27" s="131" t="s">
        <v>844</v>
      </c>
    </row>
    <row r="29" spans="3:5">
      <c r="D29" s="130" t="s">
        <v>844</v>
      </c>
      <c r="E29" s="131"/>
    </row>
    <row r="30" spans="3:5">
      <c r="D30" s="130"/>
      <c r="E30" s="131" t="s">
        <v>845</v>
      </c>
    </row>
    <row r="31" spans="3:5">
      <c r="D31" s="130" t="s">
        <v>844</v>
      </c>
      <c r="E31" s="131"/>
    </row>
    <row r="33" spans="4:5">
      <c r="D33" s="130" t="s">
        <v>844</v>
      </c>
      <c r="E33" s="131" t="s">
        <v>845</v>
      </c>
    </row>
    <row r="34" spans="4:5">
      <c r="D34" s="130"/>
      <c r="E34" s="131"/>
    </row>
    <row r="35" spans="4:5">
      <c r="D35" s="130" t="s">
        <v>844</v>
      </c>
      <c r="E35" s="131" t="s">
        <v>845</v>
      </c>
    </row>
    <row r="37" spans="4:5">
      <c r="D37" s="130" t="s">
        <v>844</v>
      </c>
      <c r="E37" s="131" t="s">
        <v>845</v>
      </c>
    </row>
    <row r="38" spans="4:5">
      <c r="D38" s="130"/>
      <c r="E38" s="131" t="s">
        <v>846</v>
      </c>
    </row>
    <row r="39" spans="4:5">
      <c r="D39" s="130" t="s">
        <v>844</v>
      </c>
      <c r="E39" s="131" t="s">
        <v>845</v>
      </c>
    </row>
  </sheetData>
  <mergeCells count="1">
    <mergeCell ref="B2:C2"/>
  </mergeCells>
  <phoneticPr fontId="4"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97E7-DAFF-419A-B232-B4BAE28C5EB8}">
  <dimension ref="A1:X56"/>
  <sheetViews>
    <sheetView zoomScaleNormal="100" workbookViewId="0">
      <selection activeCell="B3" sqref="B3"/>
    </sheetView>
  </sheetViews>
  <sheetFormatPr defaultRowHeight="17"/>
  <cols>
    <col min="1" max="1" width="10.5" bestFit="1" customWidth="1"/>
    <col min="2" max="4" width="15.58203125" customWidth="1"/>
    <col min="5" max="5" width="33.4140625" bestFit="1" customWidth="1"/>
    <col min="6" max="6" width="50" customWidth="1"/>
    <col min="7" max="12" width="15.58203125" customWidth="1"/>
    <col min="13" max="13" width="37.75" bestFit="1" customWidth="1"/>
    <col min="14" max="14" width="44.9140625" bestFit="1" customWidth="1"/>
    <col min="15" max="15" width="25" customWidth="1"/>
    <col min="16" max="16" width="24.58203125" customWidth="1"/>
    <col min="17" max="17" width="24.33203125" customWidth="1"/>
    <col min="18" max="18" width="22.83203125" bestFit="1" customWidth="1"/>
    <col min="19" max="19" width="15.58203125" customWidth="1"/>
    <col min="20" max="20" width="22.83203125" bestFit="1" customWidth="1"/>
    <col min="21" max="62" width="15.58203125" customWidth="1"/>
  </cols>
  <sheetData>
    <row r="1" spans="1:24">
      <c r="A1" t="s">
        <v>657</v>
      </c>
    </row>
    <row r="2" spans="1:24">
      <c r="B2" s="156" t="s">
        <v>711</v>
      </c>
      <c r="C2" s="157"/>
      <c r="D2" s="157"/>
      <c r="E2" s="157"/>
      <c r="F2" s="157"/>
      <c r="G2" s="157"/>
      <c r="H2" s="157"/>
      <c r="I2" s="157"/>
      <c r="J2" s="157"/>
      <c r="K2" s="157"/>
      <c r="L2" s="157"/>
      <c r="M2" s="157"/>
      <c r="N2" s="157"/>
      <c r="O2" s="157"/>
      <c r="P2" s="157"/>
    </row>
    <row r="3" spans="1:24">
      <c r="A3" t="s">
        <v>888</v>
      </c>
      <c r="B3" t="s">
        <v>891</v>
      </c>
    </row>
    <row r="4" spans="1:24">
      <c r="A4" s="93" t="s">
        <v>658</v>
      </c>
      <c r="B4" s="93" t="s">
        <v>85</v>
      </c>
      <c r="C4" s="93" t="s">
        <v>86</v>
      </c>
      <c r="D4" s="93" t="s">
        <v>85</v>
      </c>
      <c r="E4" s="93" t="s">
        <v>86</v>
      </c>
      <c r="F4" s="93" t="s">
        <v>86</v>
      </c>
      <c r="G4" s="106" t="s">
        <v>85</v>
      </c>
      <c r="H4" s="106" t="s">
        <v>85</v>
      </c>
      <c r="I4" s="106" t="s">
        <v>85</v>
      </c>
      <c r="J4" s="106" t="s">
        <v>85</v>
      </c>
      <c r="K4" s="106" t="s">
        <v>85</v>
      </c>
      <c r="L4" s="106" t="s">
        <v>101</v>
      </c>
      <c r="M4" s="106" t="s">
        <v>85</v>
      </c>
      <c r="N4" s="106" t="s">
        <v>85</v>
      </c>
      <c r="O4" s="93" t="s">
        <v>659</v>
      </c>
      <c r="P4" s="93" t="s">
        <v>659</v>
      </c>
      <c r="Q4" s="93" t="s">
        <v>659</v>
      </c>
      <c r="R4" s="93" t="s">
        <v>659</v>
      </c>
      <c r="S4" s="93" t="s">
        <v>659</v>
      </c>
      <c r="T4" s="93" t="s">
        <v>659</v>
      </c>
      <c r="U4" s="93" t="s">
        <v>659</v>
      </c>
      <c r="V4" s="93" t="s">
        <v>659</v>
      </c>
      <c r="W4" s="93" t="s">
        <v>659</v>
      </c>
      <c r="X4" s="93" t="s">
        <v>659</v>
      </c>
    </row>
    <row r="5" spans="1:24">
      <c r="A5" s="93" t="s">
        <v>660</v>
      </c>
      <c r="B5" t="s">
        <v>34</v>
      </c>
      <c r="C5" t="s">
        <v>1</v>
      </c>
      <c r="D5" t="s">
        <v>631</v>
      </c>
      <c r="E5" t="s">
        <v>22</v>
      </c>
      <c r="F5" t="s">
        <v>24</v>
      </c>
      <c r="G5" t="s">
        <v>396</v>
      </c>
      <c r="H5" t="s">
        <v>193</v>
      </c>
      <c r="I5" t="s">
        <v>194</v>
      </c>
      <c r="J5" t="s">
        <v>414</v>
      </c>
      <c r="K5" t="s">
        <v>195</v>
      </c>
      <c r="L5" t="s">
        <v>278</v>
      </c>
      <c r="M5" t="s">
        <v>279</v>
      </c>
      <c r="N5" t="s">
        <v>280</v>
      </c>
      <c r="O5" t="s">
        <v>583</v>
      </c>
      <c r="P5" t="s">
        <v>582</v>
      </c>
      <c r="Q5" t="s">
        <v>584</v>
      </c>
      <c r="R5" t="s">
        <v>585</v>
      </c>
      <c r="S5" t="s">
        <v>586</v>
      </c>
      <c r="T5" t="s">
        <v>587</v>
      </c>
      <c r="U5" t="s">
        <v>588</v>
      </c>
      <c r="V5" t="s">
        <v>589</v>
      </c>
      <c r="W5" t="s">
        <v>712</v>
      </c>
      <c r="X5" t="s">
        <v>713</v>
      </c>
    </row>
    <row r="6" spans="1:24">
      <c r="A6" s="93" t="s">
        <v>661</v>
      </c>
      <c r="B6">
        <v>1010</v>
      </c>
      <c r="C6" t="s">
        <v>452</v>
      </c>
      <c r="D6">
        <v>1</v>
      </c>
      <c r="E6" t="s">
        <v>9</v>
      </c>
      <c r="F6" t="s">
        <v>609</v>
      </c>
      <c r="G6">
        <v>0</v>
      </c>
      <c r="H6">
        <v>0</v>
      </c>
      <c r="I6">
        <v>0</v>
      </c>
      <c r="J6">
        <v>0</v>
      </c>
      <c r="K6">
        <v>0</v>
      </c>
      <c r="O6" s="108">
        <v>1</v>
      </c>
      <c r="P6" s="108"/>
      <c r="Q6" s="108">
        <f>IFERROR(IF(ROUND(O6*1.2,1)=0,"",ROUND(O6*1.2,1)),"")</f>
        <v>1.2</v>
      </c>
      <c r="R6" s="108" t="str">
        <f t="shared" ref="R6:V21" si="0">IFERROR(IF(ROUND(P6*1.2,1)=0,"",ROUND(P6*1.2,1)),"")</f>
        <v/>
      </c>
      <c r="S6" s="108">
        <f t="shared" si="0"/>
        <v>1.4</v>
      </c>
      <c r="T6" s="108" t="str">
        <f t="shared" si="0"/>
        <v/>
      </c>
      <c r="U6" s="108">
        <f t="shared" si="0"/>
        <v>1.7</v>
      </c>
      <c r="V6" s="108" t="str">
        <f t="shared" si="0"/>
        <v/>
      </c>
      <c r="W6" s="108">
        <f t="shared" ref="W6:W11" si="1">IFERROR(IF(ROUND(U6*1.2,1)=0,"",ROUND(U6*1.2,1)),"")</f>
        <v>2</v>
      </c>
      <c r="X6" s="108" t="str">
        <f t="shared" ref="X6:X7" si="2">IFERROR(IF(ROUND(V6*1.2,1)=0,"",ROUND(V6*1.2,1)),"")</f>
        <v/>
      </c>
    </row>
    <row r="7" spans="1:24">
      <c r="A7" s="93"/>
      <c r="B7">
        <v>1020</v>
      </c>
      <c r="C7" t="s">
        <v>452</v>
      </c>
      <c r="D7">
        <v>3</v>
      </c>
      <c r="E7" t="s">
        <v>234</v>
      </c>
      <c r="F7" t="s">
        <v>610</v>
      </c>
      <c r="G7">
        <v>0</v>
      </c>
      <c r="H7">
        <v>0</v>
      </c>
      <c r="I7">
        <v>0</v>
      </c>
      <c r="J7">
        <v>0</v>
      </c>
      <c r="K7">
        <v>1</v>
      </c>
      <c r="L7" t="s">
        <v>498</v>
      </c>
      <c r="M7">
        <v>0</v>
      </c>
      <c r="O7" s="108">
        <v>0.8</v>
      </c>
      <c r="P7" s="108"/>
      <c r="Q7" s="108">
        <f t="shared" ref="Q7:V40" si="3">IFERROR(IF(ROUND(O7*1.2,1)=0,"",ROUND(O7*1.2,1)),"")</f>
        <v>1</v>
      </c>
      <c r="R7" s="108" t="str">
        <f t="shared" si="0"/>
        <v/>
      </c>
      <c r="S7" s="108">
        <f t="shared" si="0"/>
        <v>1.2</v>
      </c>
      <c r="T7" s="108" t="str">
        <f t="shared" si="0"/>
        <v/>
      </c>
      <c r="U7" s="108">
        <f t="shared" si="0"/>
        <v>1.4</v>
      </c>
      <c r="V7" s="108" t="str">
        <f t="shared" si="0"/>
        <v/>
      </c>
      <c r="W7" s="108">
        <f t="shared" si="1"/>
        <v>1.7</v>
      </c>
      <c r="X7" s="108" t="str">
        <f t="shared" si="2"/>
        <v/>
      </c>
    </row>
    <row r="8" spans="1:24">
      <c r="A8" s="93"/>
      <c r="B8">
        <v>1030</v>
      </c>
      <c r="C8" t="s">
        <v>452</v>
      </c>
      <c r="D8">
        <v>5</v>
      </c>
      <c r="E8" t="s">
        <v>30</v>
      </c>
      <c r="F8" t="s">
        <v>618</v>
      </c>
      <c r="G8">
        <v>0</v>
      </c>
      <c r="H8">
        <v>0</v>
      </c>
      <c r="I8">
        <v>0</v>
      </c>
      <c r="J8">
        <v>0</v>
      </c>
      <c r="K8">
        <v>0</v>
      </c>
      <c r="L8" t="s">
        <v>283</v>
      </c>
      <c r="M8">
        <v>0</v>
      </c>
      <c r="N8">
        <v>1</v>
      </c>
      <c r="O8" s="108">
        <v>0.6</v>
      </c>
      <c r="P8" s="108">
        <v>0.8</v>
      </c>
      <c r="Q8" s="108">
        <f t="shared" si="3"/>
        <v>0.7</v>
      </c>
      <c r="R8" s="108">
        <f t="shared" si="0"/>
        <v>1</v>
      </c>
      <c r="S8" s="108">
        <f t="shared" si="0"/>
        <v>0.8</v>
      </c>
      <c r="T8" s="108">
        <f t="shared" si="0"/>
        <v>1.2</v>
      </c>
      <c r="U8" s="108">
        <f t="shared" si="0"/>
        <v>1</v>
      </c>
      <c r="V8" s="108">
        <f>IFERROR(IF(ROUND(T8*1.2,1)=0,"",ROUND(T8*1.2,1)),"")</f>
        <v>1.4</v>
      </c>
      <c r="W8" s="108">
        <f t="shared" si="1"/>
        <v>1.2</v>
      </c>
      <c r="X8" s="108">
        <f>IFERROR(IF(ROUND(V8*1.2,1)=0,"",ROUND(V8*1.2,1)),"")</f>
        <v>1.7</v>
      </c>
    </row>
    <row r="9" spans="1:24">
      <c r="A9" s="93"/>
      <c r="B9">
        <v>1040</v>
      </c>
      <c r="C9" t="s">
        <v>736</v>
      </c>
      <c r="D9">
        <v>7</v>
      </c>
      <c r="E9" t="s">
        <v>31</v>
      </c>
      <c r="F9" t="s">
        <v>611</v>
      </c>
      <c r="G9">
        <v>0</v>
      </c>
      <c r="H9">
        <v>0</v>
      </c>
      <c r="I9">
        <v>0</v>
      </c>
      <c r="J9">
        <v>0</v>
      </c>
      <c r="K9">
        <v>1</v>
      </c>
      <c r="L9" t="s">
        <v>498</v>
      </c>
      <c r="M9">
        <v>0</v>
      </c>
      <c r="O9" s="108">
        <v>1.2</v>
      </c>
      <c r="P9" s="108"/>
      <c r="Q9" s="108">
        <f t="shared" si="3"/>
        <v>1.4</v>
      </c>
      <c r="R9" s="108" t="str">
        <f t="shared" si="0"/>
        <v/>
      </c>
      <c r="S9" s="108">
        <f t="shared" si="0"/>
        <v>1.7</v>
      </c>
      <c r="T9" s="108" t="str">
        <f t="shared" si="0"/>
        <v/>
      </c>
      <c r="U9" s="108">
        <f t="shared" si="0"/>
        <v>2</v>
      </c>
      <c r="V9" s="108" t="str">
        <f t="shared" si="0"/>
        <v/>
      </c>
      <c r="W9" s="108">
        <f t="shared" si="1"/>
        <v>2.4</v>
      </c>
      <c r="X9" s="108" t="str">
        <f t="shared" ref="X9:X19" si="4">IFERROR(IF(ROUND(V9*1.2,1)=0,"",ROUND(V9*1.2,1)),"")</f>
        <v/>
      </c>
    </row>
    <row r="10" spans="1:24">
      <c r="A10" s="93"/>
      <c r="B10">
        <v>1050</v>
      </c>
      <c r="C10" t="s">
        <v>452</v>
      </c>
      <c r="D10">
        <v>10</v>
      </c>
      <c r="E10" t="s">
        <v>32</v>
      </c>
      <c r="F10" t="s">
        <v>612</v>
      </c>
      <c r="G10">
        <v>0</v>
      </c>
      <c r="H10">
        <v>0</v>
      </c>
      <c r="I10">
        <v>0</v>
      </c>
      <c r="J10">
        <v>1</v>
      </c>
      <c r="K10">
        <v>0</v>
      </c>
      <c r="O10" s="108">
        <v>1.5</v>
      </c>
      <c r="P10" s="108"/>
      <c r="Q10" s="108">
        <f t="shared" si="3"/>
        <v>1.8</v>
      </c>
      <c r="R10" s="108" t="str">
        <f t="shared" si="0"/>
        <v/>
      </c>
      <c r="S10" s="108">
        <f t="shared" si="0"/>
        <v>2.2000000000000002</v>
      </c>
      <c r="T10" s="108" t="str">
        <f t="shared" si="0"/>
        <v/>
      </c>
      <c r="U10" s="108">
        <f t="shared" si="0"/>
        <v>2.6</v>
      </c>
      <c r="V10" s="108" t="str">
        <f t="shared" si="0"/>
        <v/>
      </c>
      <c r="W10" s="108">
        <f t="shared" si="1"/>
        <v>3.1</v>
      </c>
      <c r="X10" s="108" t="str">
        <f t="shared" si="4"/>
        <v/>
      </c>
    </row>
    <row r="11" spans="1:24">
      <c r="B11">
        <v>1060</v>
      </c>
      <c r="C11" t="s">
        <v>452</v>
      </c>
      <c r="D11">
        <v>12</v>
      </c>
      <c r="E11" t="s">
        <v>33</v>
      </c>
      <c r="F11" t="s">
        <v>613</v>
      </c>
      <c r="G11">
        <v>0</v>
      </c>
      <c r="H11">
        <v>0</v>
      </c>
      <c r="I11">
        <v>0</v>
      </c>
      <c r="J11">
        <v>1</v>
      </c>
      <c r="K11">
        <v>2</v>
      </c>
      <c r="O11" s="108">
        <v>0.8</v>
      </c>
      <c r="P11" s="108"/>
      <c r="Q11" s="108">
        <f t="shared" si="3"/>
        <v>1</v>
      </c>
      <c r="R11" s="108" t="str">
        <f t="shared" si="0"/>
        <v/>
      </c>
      <c r="S11" s="108">
        <f t="shared" si="0"/>
        <v>1.2</v>
      </c>
      <c r="T11" s="108" t="str">
        <f t="shared" si="0"/>
        <v/>
      </c>
      <c r="U11" s="108">
        <f t="shared" si="0"/>
        <v>1.4</v>
      </c>
      <c r="V11" s="108" t="str">
        <f t="shared" si="0"/>
        <v/>
      </c>
      <c r="W11" s="108">
        <f t="shared" si="1"/>
        <v>1.7</v>
      </c>
      <c r="X11" s="108" t="str">
        <f t="shared" si="4"/>
        <v/>
      </c>
    </row>
    <row r="12" spans="1:24">
      <c r="B12">
        <v>1070</v>
      </c>
      <c r="C12" t="s">
        <v>452</v>
      </c>
      <c r="D12">
        <v>15</v>
      </c>
      <c r="E12" t="s">
        <v>26</v>
      </c>
      <c r="F12" t="s">
        <v>643</v>
      </c>
      <c r="G12">
        <v>0</v>
      </c>
      <c r="H12">
        <v>0</v>
      </c>
      <c r="I12">
        <v>0</v>
      </c>
      <c r="J12">
        <v>0</v>
      </c>
      <c r="K12">
        <v>0</v>
      </c>
      <c r="O12" s="108">
        <v>1.8</v>
      </c>
      <c r="P12" s="108"/>
      <c r="Q12" s="108">
        <v>2.2000000000000002</v>
      </c>
      <c r="R12" s="108" t="str">
        <f t="shared" si="0"/>
        <v/>
      </c>
      <c r="S12" s="108">
        <v>2.6</v>
      </c>
      <c r="T12" s="108" t="str">
        <f t="shared" si="0"/>
        <v/>
      </c>
      <c r="U12" s="108">
        <v>3</v>
      </c>
      <c r="V12" s="108" t="str">
        <f t="shared" si="0"/>
        <v/>
      </c>
      <c r="W12" s="108">
        <v>3</v>
      </c>
      <c r="X12" s="108" t="str">
        <f t="shared" si="4"/>
        <v/>
      </c>
    </row>
    <row r="13" spans="1:24">
      <c r="B13">
        <v>2010</v>
      </c>
      <c r="C13" t="s">
        <v>453</v>
      </c>
      <c r="D13">
        <v>1</v>
      </c>
      <c r="E13" t="s">
        <v>43</v>
      </c>
      <c r="F13" t="s">
        <v>614</v>
      </c>
      <c r="G13">
        <v>0</v>
      </c>
      <c r="H13">
        <v>0</v>
      </c>
      <c r="I13">
        <v>1</v>
      </c>
      <c r="J13">
        <v>1</v>
      </c>
      <c r="K13">
        <v>0</v>
      </c>
      <c r="O13" s="108">
        <v>1</v>
      </c>
      <c r="P13" s="108"/>
      <c r="Q13" s="108">
        <f t="shared" si="3"/>
        <v>1.2</v>
      </c>
      <c r="R13" s="108" t="str">
        <f t="shared" si="0"/>
        <v/>
      </c>
      <c r="S13" s="108">
        <f t="shared" si="0"/>
        <v>1.4</v>
      </c>
      <c r="T13" s="108" t="str">
        <f t="shared" si="0"/>
        <v/>
      </c>
      <c r="U13" s="108">
        <f t="shared" si="0"/>
        <v>1.7</v>
      </c>
      <c r="V13" s="108" t="str">
        <f t="shared" si="0"/>
        <v/>
      </c>
      <c r="W13" s="108">
        <f t="shared" ref="W13:W18" si="5">IFERROR(IF(ROUND(U13*1.2,1)=0,"",ROUND(U13*1.2,1)),"")</f>
        <v>2</v>
      </c>
      <c r="X13" s="108" t="str">
        <f t="shared" si="4"/>
        <v/>
      </c>
    </row>
    <row r="14" spans="1:24">
      <c r="B14">
        <v>2020</v>
      </c>
      <c r="C14" t="s">
        <v>453</v>
      </c>
      <c r="D14">
        <v>3</v>
      </c>
      <c r="E14" t="s">
        <v>44</v>
      </c>
      <c r="F14" t="s">
        <v>616</v>
      </c>
      <c r="G14">
        <v>0</v>
      </c>
      <c r="H14">
        <v>0</v>
      </c>
      <c r="I14">
        <v>1</v>
      </c>
      <c r="J14">
        <v>1</v>
      </c>
      <c r="K14">
        <v>1</v>
      </c>
      <c r="L14" t="s">
        <v>498</v>
      </c>
      <c r="M14">
        <v>0</v>
      </c>
      <c r="O14" s="108">
        <v>0.6</v>
      </c>
      <c r="P14" s="108"/>
      <c r="Q14" s="108">
        <f t="shared" si="3"/>
        <v>0.7</v>
      </c>
      <c r="R14" s="108" t="str">
        <f t="shared" si="0"/>
        <v/>
      </c>
      <c r="S14" s="108">
        <f t="shared" si="0"/>
        <v>0.8</v>
      </c>
      <c r="T14" s="108" t="str">
        <f t="shared" si="0"/>
        <v/>
      </c>
      <c r="U14" s="108">
        <f t="shared" si="0"/>
        <v>1</v>
      </c>
      <c r="V14" s="108" t="str">
        <f t="shared" si="0"/>
        <v/>
      </c>
      <c r="W14" s="108">
        <f t="shared" si="5"/>
        <v>1.2</v>
      </c>
      <c r="X14" s="108" t="str">
        <f t="shared" si="4"/>
        <v/>
      </c>
    </row>
    <row r="15" spans="1:24">
      <c r="B15">
        <v>2030</v>
      </c>
      <c r="C15" t="s">
        <v>453</v>
      </c>
      <c r="D15">
        <v>5</v>
      </c>
      <c r="E15" t="s">
        <v>46</v>
      </c>
      <c r="F15" t="s">
        <v>615</v>
      </c>
      <c r="G15">
        <v>0</v>
      </c>
      <c r="H15">
        <v>0</v>
      </c>
      <c r="I15">
        <v>1</v>
      </c>
      <c r="J15">
        <v>1</v>
      </c>
      <c r="K15">
        <v>0</v>
      </c>
      <c r="O15" s="108">
        <v>1.8</v>
      </c>
      <c r="P15" s="108"/>
      <c r="Q15" s="108">
        <f t="shared" si="3"/>
        <v>2.2000000000000002</v>
      </c>
      <c r="R15" s="108" t="str">
        <f t="shared" si="0"/>
        <v/>
      </c>
      <c r="S15" s="108">
        <f t="shared" si="0"/>
        <v>2.6</v>
      </c>
      <c r="T15" s="108" t="str">
        <f t="shared" si="0"/>
        <v/>
      </c>
      <c r="U15" s="108">
        <f t="shared" si="0"/>
        <v>3.1</v>
      </c>
      <c r="V15" s="108" t="str">
        <f t="shared" si="0"/>
        <v/>
      </c>
      <c r="W15" s="108">
        <f t="shared" si="5"/>
        <v>3.7</v>
      </c>
      <c r="X15" s="108" t="str">
        <f t="shared" si="4"/>
        <v/>
      </c>
    </row>
    <row r="16" spans="1:24">
      <c r="B16">
        <v>2040</v>
      </c>
      <c r="C16" t="s">
        <v>453</v>
      </c>
      <c r="D16">
        <v>7</v>
      </c>
      <c r="E16" t="s">
        <v>45</v>
      </c>
      <c r="F16" t="s">
        <v>619</v>
      </c>
      <c r="G16">
        <v>0</v>
      </c>
      <c r="H16">
        <v>0</v>
      </c>
      <c r="I16">
        <v>1</v>
      </c>
      <c r="J16">
        <v>1</v>
      </c>
      <c r="K16">
        <v>0</v>
      </c>
      <c r="L16" t="s">
        <v>277</v>
      </c>
      <c r="M16">
        <v>1</v>
      </c>
      <c r="N16">
        <v>1</v>
      </c>
      <c r="O16" s="108">
        <v>0.6</v>
      </c>
      <c r="P16" s="108">
        <v>0.5</v>
      </c>
      <c r="Q16" s="108">
        <f t="shared" si="3"/>
        <v>0.7</v>
      </c>
      <c r="R16" s="108">
        <f t="shared" si="0"/>
        <v>0.6</v>
      </c>
      <c r="S16" s="108">
        <f t="shared" si="0"/>
        <v>0.8</v>
      </c>
      <c r="T16" s="108">
        <f t="shared" si="0"/>
        <v>0.7</v>
      </c>
      <c r="U16" s="108">
        <f t="shared" si="0"/>
        <v>1</v>
      </c>
      <c r="V16" s="108">
        <f t="shared" si="0"/>
        <v>0.8</v>
      </c>
      <c r="W16" s="108">
        <f t="shared" si="5"/>
        <v>1.2</v>
      </c>
      <c r="X16" s="108">
        <f t="shared" si="4"/>
        <v>1</v>
      </c>
    </row>
    <row r="17" spans="2:24">
      <c r="B17">
        <v>2050</v>
      </c>
      <c r="C17" t="s">
        <v>453</v>
      </c>
      <c r="D17">
        <v>10</v>
      </c>
      <c r="E17" t="s">
        <v>27</v>
      </c>
      <c r="F17" t="s">
        <v>620</v>
      </c>
      <c r="G17">
        <v>0</v>
      </c>
      <c r="H17">
        <v>0</v>
      </c>
      <c r="I17">
        <v>1</v>
      </c>
      <c r="J17">
        <v>1</v>
      </c>
      <c r="K17">
        <v>2</v>
      </c>
      <c r="O17" s="108">
        <v>0.8</v>
      </c>
      <c r="P17" s="108"/>
      <c r="Q17" s="108">
        <f t="shared" si="3"/>
        <v>1</v>
      </c>
      <c r="R17" s="108" t="str">
        <f t="shared" si="0"/>
        <v/>
      </c>
      <c r="S17" s="108">
        <f t="shared" si="0"/>
        <v>1.2</v>
      </c>
      <c r="T17" s="108" t="str">
        <f t="shared" si="0"/>
        <v/>
      </c>
      <c r="U17" s="108">
        <f t="shared" si="0"/>
        <v>1.4</v>
      </c>
      <c r="V17" s="108" t="str">
        <f t="shared" si="0"/>
        <v/>
      </c>
      <c r="W17" s="108">
        <f t="shared" si="5"/>
        <v>1.7</v>
      </c>
      <c r="X17" s="108" t="str">
        <f t="shared" si="4"/>
        <v/>
      </c>
    </row>
    <row r="18" spans="2:24">
      <c r="B18">
        <v>2060</v>
      </c>
      <c r="C18" t="s">
        <v>453</v>
      </c>
      <c r="D18">
        <v>12</v>
      </c>
      <c r="E18" t="s">
        <v>13</v>
      </c>
      <c r="F18" t="s">
        <v>640</v>
      </c>
      <c r="G18">
        <v>0</v>
      </c>
      <c r="H18">
        <v>0</v>
      </c>
      <c r="I18">
        <v>1</v>
      </c>
      <c r="J18">
        <v>1</v>
      </c>
      <c r="K18">
        <v>0</v>
      </c>
      <c r="O18" s="108">
        <v>1.5</v>
      </c>
      <c r="P18" s="108"/>
      <c r="Q18" s="108">
        <f t="shared" si="3"/>
        <v>1.8</v>
      </c>
      <c r="R18" s="108" t="str">
        <f t="shared" si="0"/>
        <v/>
      </c>
      <c r="S18" s="108">
        <f t="shared" si="0"/>
        <v>2.2000000000000002</v>
      </c>
      <c r="T18" s="108" t="str">
        <f t="shared" si="0"/>
        <v/>
      </c>
      <c r="U18" s="108">
        <f t="shared" si="0"/>
        <v>2.6</v>
      </c>
      <c r="V18" s="108" t="str">
        <f t="shared" si="0"/>
        <v/>
      </c>
      <c r="W18" s="108">
        <f t="shared" si="5"/>
        <v>3.1</v>
      </c>
      <c r="X18" s="108" t="str">
        <f t="shared" si="4"/>
        <v/>
      </c>
    </row>
    <row r="19" spans="2:24">
      <c r="B19">
        <v>2070</v>
      </c>
      <c r="C19" t="s">
        <v>453</v>
      </c>
      <c r="D19">
        <v>15</v>
      </c>
      <c r="E19" t="s">
        <v>28</v>
      </c>
      <c r="F19" t="s">
        <v>639</v>
      </c>
      <c r="G19">
        <v>0</v>
      </c>
      <c r="H19">
        <v>0</v>
      </c>
      <c r="I19">
        <v>1</v>
      </c>
      <c r="J19">
        <v>1</v>
      </c>
      <c r="K19">
        <v>2</v>
      </c>
      <c r="O19" s="108">
        <v>1.4</v>
      </c>
      <c r="P19" s="108"/>
      <c r="Q19" s="108">
        <v>1.6</v>
      </c>
      <c r="R19" s="108" t="str">
        <f t="shared" si="0"/>
        <v/>
      </c>
      <c r="S19" s="108">
        <v>1.8</v>
      </c>
      <c r="T19" s="108" t="str">
        <f t="shared" si="0"/>
        <v/>
      </c>
      <c r="U19" s="108">
        <v>2</v>
      </c>
      <c r="V19" s="108" t="str">
        <f t="shared" si="0"/>
        <v/>
      </c>
      <c r="W19" s="108">
        <v>2</v>
      </c>
      <c r="X19" s="108" t="str">
        <f t="shared" si="4"/>
        <v/>
      </c>
    </row>
    <row r="20" spans="2:24">
      <c r="B20">
        <v>3010</v>
      </c>
      <c r="C20" t="s">
        <v>454</v>
      </c>
      <c r="D20">
        <v>1</v>
      </c>
      <c r="E20" t="s">
        <v>241</v>
      </c>
      <c r="F20" t="s">
        <v>617</v>
      </c>
      <c r="G20">
        <v>0</v>
      </c>
      <c r="H20">
        <v>0</v>
      </c>
      <c r="I20">
        <v>1</v>
      </c>
      <c r="J20">
        <v>1</v>
      </c>
      <c r="K20">
        <v>0</v>
      </c>
      <c r="O20" s="108">
        <v>1</v>
      </c>
      <c r="P20" s="108"/>
      <c r="Q20" s="108">
        <f t="shared" si="3"/>
        <v>1.2</v>
      </c>
      <c r="R20" s="108" t="str">
        <f t="shared" si="0"/>
        <v/>
      </c>
      <c r="S20" s="108">
        <f t="shared" si="0"/>
        <v>1.4</v>
      </c>
      <c r="T20" s="108" t="str">
        <f t="shared" si="0"/>
        <v/>
      </c>
      <c r="U20" s="108">
        <f t="shared" si="0"/>
        <v>1.7</v>
      </c>
      <c r="V20" s="108" t="str">
        <f>IFERROR(IF(ROUND(T20*1.2,1)=0,"",ROUND(T20*1.2,1)),"")</f>
        <v/>
      </c>
      <c r="W20" s="108">
        <f t="shared" ref="W20:W40" si="6">IFERROR(IF(ROUND(U20*1.2,1)=0,"",ROUND(U20*1.2,1)),"")</f>
        <v>2</v>
      </c>
      <c r="X20" s="108" t="str">
        <f>IFERROR(IF(ROUND(V20*1.2,1)=0,"",ROUND(V20*1.2,1)),"")</f>
        <v/>
      </c>
    </row>
    <row r="21" spans="2:24">
      <c r="B21">
        <v>3020</v>
      </c>
      <c r="C21" t="s">
        <v>454</v>
      </c>
      <c r="D21">
        <v>3</v>
      </c>
      <c r="E21" t="s">
        <v>514</v>
      </c>
      <c r="F21" t="s">
        <v>621</v>
      </c>
      <c r="G21">
        <v>0</v>
      </c>
      <c r="H21">
        <v>0</v>
      </c>
      <c r="I21">
        <v>1</v>
      </c>
      <c r="J21">
        <v>1</v>
      </c>
      <c r="K21">
        <v>0</v>
      </c>
      <c r="O21" s="108">
        <v>1.2</v>
      </c>
      <c r="P21" s="108"/>
      <c r="Q21" s="108">
        <f t="shared" si="3"/>
        <v>1.4</v>
      </c>
      <c r="R21" s="108" t="str">
        <f t="shared" si="0"/>
        <v/>
      </c>
      <c r="S21" s="108">
        <f t="shared" si="0"/>
        <v>1.7</v>
      </c>
      <c r="T21" s="108" t="str">
        <f t="shared" si="0"/>
        <v/>
      </c>
      <c r="U21" s="108">
        <f t="shared" si="0"/>
        <v>2</v>
      </c>
      <c r="V21" s="108" t="str">
        <f t="shared" si="0"/>
        <v/>
      </c>
      <c r="W21" s="108">
        <f t="shared" si="6"/>
        <v>2.4</v>
      </c>
      <c r="X21" s="108" t="str">
        <f t="shared" ref="X21:X40" si="7">IFERROR(IF(ROUND(V21*1.2,1)=0,"",ROUND(V21*1.2,1)),"")</f>
        <v/>
      </c>
    </row>
    <row r="22" spans="2:24">
      <c r="B22">
        <v>3030</v>
      </c>
      <c r="C22" t="s">
        <v>454</v>
      </c>
      <c r="D22">
        <v>5</v>
      </c>
      <c r="E22" t="s">
        <v>515</v>
      </c>
      <c r="F22" t="s">
        <v>622</v>
      </c>
      <c r="G22">
        <v>0</v>
      </c>
      <c r="H22">
        <v>0</v>
      </c>
      <c r="I22">
        <v>1</v>
      </c>
      <c r="J22">
        <v>1</v>
      </c>
      <c r="K22">
        <v>0</v>
      </c>
      <c r="O22" s="108">
        <v>1.4</v>
      </c>
      <c r="P22" s="108"/>
      <c r="Q22" s="108">
        <f t="shared" si="3"/>
        <v>1.7</v>
      </c>
      <c r="R22" s="108" t="str">
        <f t="shared" si="3"/>
        <v/>
      </c>
      <c r="S22" s="108">
        <f t="shared" si="3"/>
        <v>2</v>
      </c>
      <c r="T22" s="108" t="str">
        <f t="shared" si="3"/>
        <v/>
      </c>
      <c r="U22" s="108">
        <f t="shared" si="3"/>
        <v>2.4</v>
      </c>
      <c r="V22" s="108" t="str">
        <f t="shared" si="3"/>
        <v/>
      </c>
      <c r="W22" s="108">
        <f t="shared" si="6"/>
        <v>2.9</v>
      </c>
      <c r="X22" s="108" t="str">
        <f t="shared" si="7"/>
        <v/>
      </c>
    </row>
    <row r="23" spans="2:24">
      <c r="B23">
        <v>3040</v>
      </c>
      <c r="C23" t="s">
        <v>454</v>
      </c>
      <c r="D23">
        <v>7</v>
      </c>
      <c r="E23" t="s">
        <v>516</v>
      </c>
      <c r="F23" t="s">
        <v>623</v>
      </c>
      <c r="G23">
        <v>0</v>
      </c>
      <c r="H23">
        <v>0</v>
      </c>
      <c r="I23">
        <v>1</v>
      </c>
      <c r="J23">
        <v>1</v>
      </c>
      <c r="K23">
        <v>0</v>
      </c>
      <c r="L23" t="s">
        <v>517</v>
      </c>
      <c r="M23">
        <v>0</v>
      </c>
      <c r="O23" s="108">
        <v>0.8</v>
      </c>
      <c r="P23" s="108">
        <v>0.8</v>
      </c>
      <c r="Q23" s="108">
        <f t="shared" si="3"/>
        <v>1</v>
      </c>
      <c r="R23" s="108">
        <f t="shared" si="3"/>
        <v>1</v>
      </c>
      <c r="S23" s="108">
        <f t="shared" si="3"/>
        <v>1.2</v>
      </c>
      <c r="T23" s="108">
        <f t="shared" si="3"/>
        <v>1.2</v>
      </c>
      <c r="U23" s="108">
        <f t="shared" si="3"/>
        <v>1.4</v>
      </c>
      <c r="V23" s="108">
        <f t="shared" si="3"/>
        <v>1.4</v>
      </c>
      <c r="W23" s="108">
        <f t="shared" si="6"/>
        <v>1.7</v>
      </c>
      <c r="X23" s="108">
        <f t="shared" si="7"/>
        <v>1.7</v>
      </c>
    </row>
    <row r="24" spans="2:24">
      <c r="B24">
        <v>3050</v>
      </c>
      <c r="C24" t="s">
        <v>454</v>
      </c>
      <c r="D24">
        <v>10</v>
      </c>
      <c r="E24" t="s">
        <v>518</v>
      </c>
      <c r="F24" t="s">
        <v>642</v>
      </c>
      <c r="G24">
        <v>0</v>
      </c>
      <c r="H24">
        <v>0</v>
      </c>
      <c r="I24">
        <v>1</v>
      </c>
      <c r="J24">
        <v>1</v>
      </c>
      <c r="K24">
        <v>0</v>
      </c>
      <c r="O24" s="108">
        <v>1.6</v>
      </c>
      <c r="P24" s="108"/>
      <c r="Q24" s="108">
        <f t="shared" si="3"/>
        <v>1.9</v>
      </c>
      <c r="R24" s="108" t="str">
        <f t="shared" si="3"/>
        <v/>
      </c>
      <c r="S24" s="108">
        <f t="shared" si="3"/>
        <v>2.2999999999999998</v>
      </c>
      <c r="T24" s="108" t="str">
        <f t="shared" si="3"/>
        <v/>
      </c>
      <c r="U24" s="108">
        <f t="shared" si="3"/>
        <v>2.8</v>
      </c>
      <c r="V24" s="108" t="str">
        <f t="shared" si="3"/>
        <v/>
      </c>
      <c r="W24" s="108">
        <f t="shared" si="6"/>
        <v>3.4</v>
      </c>
      <c r="X24" s="108" t="str">
        <f t="shared" si="7"/>
        <v/>
      </c>
    </row>
    <row r="25" spans="2:24">
      <c r="B25">
        <v>3060</v>
      </c>
      <c r="C25" t="s">
        <v>454</v>
      </c>
      <c r="D25">
        <v>12</v>
      </c>
      <c r="E25" t="s">
        <v>519</v>
      </c>
      <c r="F25" t="s">
        <v>620</v>
      </c>
      <c r="G25">
        <v>0</v>
      </c>
      <c r="H25">
        <v>0</v>
      </c>
      <c r="I25">
        <v>1</v>
      </c>
      <c r="J25">
        <v>1</v>
      </c>
      <c r="K25">
        <v>2</v>
      </c>
      <c r="O25" s="108">
        <v>0.5</v>
      </c>
      <c r="P25" s="108"/>
      <c r="Q25" s="108">
        <f t="shared" si="3"/>
        <v>0.6</v>
      </c>
      <c r="R25" s="108" t="str">
        <f t="shared" si="3"/>
        <v/>
      </c>
      <c r="S25" s="108">
        <f t="shared" si="3"/>
        <v>0.7</v>
      </c>
      <c r="T25" s="108" t="str">
        <f t="shared" si="3"/>
        <v/>
      </c>
      <c r="U25" s="108">
        <f t="shared" si="3"/>
        <v>0.8</v>
      </c>
      <c r="V25" s="108" t="str">
        <f t="shared" si="3"/>
        <v/>
      </c>
      <c r="W25" s="108">
        <f t="shared" si="6"/>
        <v>1</v>
      </c>
      <c r="X25" s="108" t="str">
        <f t="shared" si="7"/>
        <v/>
      </c>
    </row>
    <row r="26" spans="2:24">
      <c r="B26">
        <v>3070</v>
      </c>
      <c r="C26" t="s">
        <v>454</v>
      </c>
      <c r="D26">
        <v>15</v>
      </c>
      <c r="E26" t="s">
        <v>520</v>
      </c>
      <c r="F26" t="s">
        <v>638</v>
      </c>
      <c r="G26">
        <v>0</v>
      </c>
      <c r="H26">
        <v>0</v>
      </c>
      <c r="I26">
        <v>1</v>
      </c>
      <c r="J26">
        <v>1</v>
      </c>
      <c r="K26">
        <v>0</v>
      </c>
      <c r="O26" s="108">
        <v>1.8</v>
      </c>
      <c r="P26" s="108"/>
      <c r="Q26" s="108">
        <f t="shared" si="3"/>
        <v>2.2000000000000002</v>
      </c>
      <c r="R26" s="108" t="str">
        <f t="shared" si="3"/>
        <v/>
      </c>
      <c r="S26" s="108">
        <f t="shared" si="3"/>
        <v>2.6</v>
      </c>
      <c r="T26" s="108" t="str">
        <f t="shared" si="3"/>
        <v/>
      </c>
      <c r="U26" s="108">
        <f t="shared" si="3"/>
        <v>3.1</v>
      </c>
      <c r="V26" s="108" t="str">
        <f t="shared" si="3"/>
        <v/>
      </c>
      <c r="W26" s="108">
        <f t="shared" si="6"/>
        <v>3.7</v>
      </c>
      <c r="X26" s="108" t="str">
        <f t="shared" si="7"/>
        <v/>
      </c>
    </row>
    <row r="27" spans="2:24">
      <c r="B27">
        <v>4010</v>
      </c>
      <c r="C27" t="s">
        <v>455</v>
      </c>
      <c r="D27">
        <v>1</v>
      </c>
      <c r="E27" t="s">
        <v>14</v>
      </c>
      <c r="F27" t="s">
        <v>405</v>
      </c>
      <c r="G27">
        <v>0</v>
      </c>
      <c r="H27">
        <v>1</v>
      </c>
      <c r="K27">
        <v>0</v>
      </c>
      <c r="O27" s="108"/>
      <c r="P27" s="108"/>
      <c r="Q27" s="108" t="str">
        <f t="shared" si="3"/>
        <v/>
      </c>
      <c r="R27" s="108" t="str">
        <f t="shared" si="3"/>
        <v/>
      </c>
      <c r="S27" s="108" t="str">
        <f t="shared" si="3"/>
        <v/>
      </c>
      <c r="T27" s="108" t="str">
        <f t="shared" si="3"/>
        <v/>
      </c>
      <c r="U27" s="108" t="str">
        <f t="shared" si="3"/>
        <v/>
      </c>
      <c r="V27" s="108" t="str">
        <f t="shared" si="3"/>
        <v/>
      </c>
      <c r="W27" s="108" t="str">
        <f t="shared" si="6"/>
        <v/>
      </c>
      <c r="X27" s="108" t="str">
        <f t="shared" si="7"/>
        <v/>
      </c>
    </row>
    <row r="28" spans="2:24">
      <c r="B28">
        <v>4020</v>
      </c>
      <c r="C28" t="s">
        <v>455</v>
      </c>
      <c r="D28">
        <v>3</v>
      </c>
      <c r="E28" t="s">
        <v>47</v>
      </c>
      <c r="F28" t="s">
        <v>624</v>
      </c>
      <c r="G28">
        <v>0</v>
      </c>
      <c r="H28">
        <v>0</v>
      </c>
      <c r="I28">
        <v>1</v>
      </c>
      <c r="J28">
        <v>1</v>
      </c>
      <c r="K28">
        <v>0</v>
      </c>
      <c r="O28" s="108">
        <v>0.8</v>
      </c>
      <c r="P28" s="108"/>
      <c r="Q28" s="108">
        <f t="shared" si="3"/>
        <v>1</v>
      </c>
      <c r="R28" s="108" t="str">
        <f t="shared" si="3"/>
        <v/>
      </c>
      <c r="S28" s="108">
        <f t="shared" si="3"/>
        <v>1.2</v>
      </c>
      <c r="T28" s="108" t="str">
        <f t="shared" si="3"/>
        <v/>
      </c>
      <c r="U28" s="108">
        <f t="shared" si="3"/>
        <v>1.4</v>
      </c>
      <c r="V28" s="108" t="str">
        <f t="shared" si="3"/>
        <v/>
      </c>
      <c r="W28" s="108">
        <f t="shared" si="6"/>
        <v>1.7</v>
      </c>
      <c r="X28" s="108" t="str">
        <f t="shared" si="7"/>
        <v/>
      </c>
    </row>
    <row r="29" spans="2:24">
      <c r="B29">
        <v>4030</v>
      </c>
      <c r="C29" t="s">
        <v>455</v>
      </c>
      <c r="D29">
        <v>5</v>
      </c>
      <c r="E29" t="s">
        <v>49</v>
      </c>
      <c r="F29" t="s">
        <v>406</v>
      </c>
      <c r="G29">
        <v>0</v>
      </c>
      <c r="H29">
        <v>1</v>
      </c>
      <c r="K29">
        <v>0</v>
      </c>
      <c r="O29" s="108"/>
      <c r="P29" s="108"/>
      <c r="Q29" s="108" t="str">
        <f t="shared" si="3"/>
        <v/>
      </c>
      <c r="R29" s="108" t="str">
        <f t="shared" si="3"/>
        <v/>
      </c>
      <c r="S29" s="108" t="str">
        <f t="shared" si="3"/>
        <v/>
      </c>
      <c r="T29" s="108" t="str">
        <f t="shared" si="3"/>
        <v/>
      </c>
      <c r="U29" s="108" t="str">
        <f t="shared" si="3"/>
        <v/>
      </c>
      <c r="V29" s="108" t="str">
        <f t="shared" si="3"/>
        <v/>
      </c>
      <c r="W29" s="108" t="str">
        <f t="shared" si="6"/>
        <v/>
      </c>
      <c r="X29" s="108" t="str">
        <f t="shared" si="7"/>
        <v/>
      </c>
    </row>
    <row r="30" spans="2:24">
      <c r="B30">
        <v>4040</v>
      </c>
      <c r="C30" t="s">
        <v>455</v>
      </c>
      <c r="D30">
        <v>7</v>
      </c>
      <c r="E30" t="s">
        <v>48</v>
      </c>
      <c r="F30" t="s">
        <v>625</v>
      </c>
      <c r="G30">
        <v>0</v>
      </c>
      <c r="H30">
        <v>0</v>
      </c>
      <c r="I30">
        <v>1</v>
      </c>
      <c r="J30">
        <v>1</v>
      </c>
      <c r="K30">
        <v>0</v>
      </c>
      <c r="O30" s="108">
        <v>1</v>
      </c>
      <c r="P30" s="108"/>
      <c r="Q30" s="108">
        <f t="shared" si="3"/>
        <v>1.2</v>
      </c>
      <c r="R30" s="108" t="str">
        <f t="shared" si="3"/>
        <v/>
      </c>
      <c r="S30" s="108">
        <f t="shared" si="3"/>
        <v>1.4</v>
      </c>
      <c r="T30" s="108" t="str">
        <f t="shared" si="3"/>
        <v/>
      </c>
      <c r="U30" s="108">
        <f t="shared" si="3"/>
        <v>1.7</v>
      </c>
      <c r="V30" s="108" t="str">
        <f t="shared" si="3"/>
        <v/>
      </c>
      <c r="W30" s="108">
        <f t="shared" si="6"/>
        <v>2</v>
      </c>
      <c r="X30" s="108" t="str">
        <f t="shared" si="7"/>
        <v/>
      </c>
    </row>
    <row r="31" spans="2:24">
      <c r="B31">
        <v>4050</v>
      </c>
      <c r="C31" t="s">
        <v>455</v>
      </c>
      <c r="D31">
        <v>10</v>
      </c>
      <c r="E31" t="s">
        <v>29</v>
      </c>
      <c r="F31" t="s">
        <v>407</v>
      </c>
      <c r="G31">
        <v>0</v>
      </c>
      <c r="H31">
        <v>1</v>
      </c>
      <c r="K31">
        <v>0</v>
      </c>
      <c r="O31" s="108"/>
      <c r="P31" s="108"/>
      <c r="Q31" s="108" t="str">
        <f t="shared" si="3"/>
        <v/>
      </c>
      <c r="R31" s="108" t="str">
        <f t="shared" si="3"/>
        <v/>
      </c>
      <c r="S31" s="108" t="str">
        <f t="shared" si="3"/>
        <v/>
      </c>
      <c r="T31" s="108" t="str">
        <f t="shared" si="3"/>
        <v/>
      </c>
      <c r="U31" s="108" t="str">
        <f t="shared" si="3"/>
        <v/>
      </c>
      <c r="V31" s="108" t="str">
        <f t="shared" si="3"/>
        <v/>
      </c>
      <c r="W31" s="108" t="str">
        <f t="shared" si="6"/>
        <v/>
      </c>
      <c r="X31" s="108" t="str">
        <f t="shared" si="7"/>
        <v/>
      </c>
    </row>
    <row r="32" spans="2:24">
      <c r="B32">
        <v>4060</v>
      </c>
      <c r="C32" t="s">
        <v>455</v>
      </c>
      <c r="D32">
        <v>12</v>
      </c>
      <c r="E32" t="s">
        <v>50</v>
      </c>
      <c r="F32" t="s">
        <v>620</v>
      </c>
      <c r="G32">
        <v>0</v>
      </c>
      <c r="H32">
        <v>0</v>
      </c>
      <c r="I32">
        <v>1</v>
      </c>
      <c r="J32">
        <v>1</v>
      </c>
      <c r="K32">
        <v>2</v>
      </c>
      <c r="O32" s="108">
        <v>0.5</v>
      </c>
      <c r="P32" s="108"/>
      <c r="Q32" s="108">
        <f t="shared" si="3"/>
        <v>0.6</v>
      </c>
      <c r="R32" s="108" t="str">
        <f t="shared" si="3"/>
        <v/>
      </c>
      <c r="S32" s="108">
        <f t="shared" si="3"/>
        <v>0.7</v>
      </c>
      <c r="T32" s="108" t="str">
        <f t="shared" si="3"/>
        <v/>
      </c>
      <c r="U32" s="108">
        <f t="shared" si="3"/>
        <v>0.8</v>
      </c>
      <c r="V32" s="108" t="str">
        <f t="shared" si="3"/>
        <v/>
      </c>
      <c r="W32" s="108">
        <f t="shared" si="6"/>
        <v>1</v>
      </c>
      <c r="X32" s="108" t="str">
        <f t="shared" si="7"/>
        <v/>
      </c>
    </row>
    <row r="33" spans="2:24">
      <c r="B33">
        <v>4070</v>
      </c>
      <c r="C33" t="s">
        <v>455</v>
      </c>
      <c r="D33">
        <v>15</v>
      </c>
      <c r="E33" t="s">
        <v>51</v>
      </c>
      <c r="F33" t="s">
        <v>641</v>
      </c>
      <c r="G33">
        <v>0</v>
      </c>
      <c r="H33">
        <v>2</v>
      </c>
      <c r="K33">
        <v>0</v>
      </c>
      <c r="O33" s="108"/>
      <c r="P33" s="108"/>
      <c r="Q33" s="108" t="str">
        <f t="shared" si="3"/>
        <v/>
      </c>
      <c r="R33" s="108" t="str">
        <f t="shared" si="3"/>
        <v/>
      </c>
      <c r="S33" s="108" t="str">
        <f t="shared" si="3"/>
        <v/>
      </c>
      <c r="T33" s="108" t="str">
        <f t="shared" si="3"/>
        <v/>
      </c>
      <c r="U33" s="108" t="str">
        <f t="shared" si="3"/>
        <v/>
      </c>
      <c r="V33" s="108" t="str">
        <f t="shared" si="3"/>
        <v/>
      </c>
      <c r="W33" s="108" t="str">
        <f t="shared" si="6"/>
        <v/>
      </c>
      <c r="X33" s="108" t="str">
        <f t="shared" si="7"/>
        <v/>
      </c>
    </row>
    <row r="34" spans="2:24">
      <c r="B34">
        <v>5010</v>
      </c>
      <c r="C34" t="s">
        <v>457</v>
      </c>
      <c r="D34">
        <v>1</v>
      </c>
      <c r="E34" t="s">
        <v>331</v>
      </c>
      <c r="F34" t="s">
        <v>626</v>
      </c>
      <c r="G34">
        <v>0</v>
      </c>
      <c r="H34">
        <v>0</v>
      </c>
      <c r="I34">
        <v>0</v>
      </c>
      <c r="J34">
        <v>0</v>
      </c>
      <c r="K34">
        <v>0</v>
      </c>
      <c r="L34" t="s">
        <v>339</v>
      </c>
      <c r="M34">
        <v>0</v>
      </c>
      <c r="O34" s="108">
        <v>1</v>
      </c>
      <c r="P34" s="108">
        <v>0.2</v>
      </c>
      <c r="Q34" s="108">
        <f t="shared" si="3"/>
        <v>1.2</v>
      </c>
      <c r="R34" s="108">
        <f t="shared" si="3"/>
        <v>0.2</v>
      </c>
      <c r="S34" s="108">
        <f t="shared" si="3"/>
        <v>1.4</v>
      </c>
      <c r="T34" s="108">
        <f t="shared" si="3"/>
        <v>0.2</v>
      </c>
      <c r="U34" s="108">
        <f t="shared" si="3"/>
        <v>1.7</v>
      </c>
      <c r="V34" s="108">
        <f t="shared" si="3"/>
        <v>0.2</v>
      </c>
      <c r="W34" s="108">
        <f t="shared" si="6"/>
        <v>2</v>
      </c>
      <c r="X34" s="108">
        <f t="shared" si="7"/>
        <v>0.2</v>
      </c>
    </row>
    <row r="35" spans="2:24">
      <c r="B35">
        <v>5020</v>
      </c>
      <c r="C35" t="s">
        <v>457</v>
      </c>
      <c r="D35">
        <v>3</v>
      </c>
      <c r="E35" t="s">
        <v>637</v>
      </c>
      <c r="F35" t="s">
        <v>627</v>
      </c>
      <c r="G35">
        <v>0</v>
      </c>
      <c r="H35">
        <v>0</v>
      </c>
      <c r="I35">
        <v>2</v>
      </c>
      <c r="J35">
        <v>1</v>
      </c>
      <c r="K35">
        <v>0</v>
      </c>
      <c r="O35" s="108">
        <v>1.2</v>
      </c>
      <c r="P35" s="108"/>
      <c r="Q35" s="108">
        <f t="shared" si="3"/>
        <v>1.4</v>
      </c>
      <c r="R35" s="108" t="str">
        <f t="shared" si="3"/>
        <v/>
      </c>
      <c r="S35" s="108">
        <f t="shared" si="3"/>
        <v>1.7</v>
      </c>
      <c r="T35" s="108" t="str">
        <f t="shared" si="3"/>
        <v/>
      </c>
      <c r="U35" s="108">
        <f t="shared" si="3"/>
        <v>2</v>
      </c>
      <c r="V35" s="108" t="str">
        <f t="shared" si="3"/>
        <v/>
      </c>
      <c r="W35" s="108">
        <f t="shared" si="6"/>
        <v>2.4</v>
      </c>
      <c r="X35" s="108" t="str">
        <f t="shared" si="7"/>
        <v/>
      </c>
    </row>
    <row r="36" spans="2:24">
      <c r="B36">
        <v>5030</v>
      </c>
      <c r="C36" t="s">
        <v>457</v>
      </c>
      <c r="D36">
        <v>5</v>
      </c>
      <c r="E36" t="s">
        <v>333</v>
      </c>
      <c r="F36" t="s">
        <v>634</v>
      </c>
      <c r="G36">
        <v>0</v>
      </c>
      <c r="H36">
        <v>0</v>
      </c>
      <c r="I36">
        <v>0</v>
      </c>
      <c r="J36">
        <v>2</v>
      </c>
      <c r="K36">
        <v>1</v>
      </c>
      <c r="L36" t="s">
        <v>498</v>
      </c>
      <c r="M36">
        <v>0</v>
      </c>
      <c r="O36" s="108">
        <v>1.2</v>
      </c>
      <c r="P36" s="108">
        <f>O36*50%</f>
        <v>0.6</v>
      </c>
      <c r="Q36" s="108">
        <f t="shared" si="3"/>
        <v>1.4</v>
      </c>
      <c r="R36" s="108">
        <f t="shared" si="3"/>
        <v>0.7</v>
      </c>
      <c r="S36" s="108">
        <f t="shared" si="3"/>
        <v>1.7</v>
      </c>
      <c r="T36" s="108">
        <f t="shared" si="3"/>
        <v>0.8</v>
      </c>
      <c r="U36" s="108">
        <f t="shared" si="3"/>
        <v>2</v>
      </c>
      <c r="V36" s="108">
        <f t="shared" si="3"/>
        <v>1</v>
      </c>
      <c r="W36" s="108">
        <f t="shared" si="6"/>
        <v>2.4</v>
      </c>
      <c r="X36" s="108">
        <f t="shared" si="7"/>
        <v>1.2</v>
      </c>
    </row>
    <row r="37" spans="2:24">
      <c r="B37">
        <v>5040</v>
      </c>
      <c r="C37" t="s">
        <v>457</v>
      </c>
      <c r="D37">
        <v>7</v>
      </c>
      <c r="E37" t="s">
        <v>334</v>
      </c>
      <c r="F37" t="s">
        <v>628</v>
      </c>
      <c r="G37">
        <v>0</v>
      </c>
      <c r="H37">
        <v>0</v>
      </c>
      <c r="I37">
        <v>0</v>
      </c>
      <c r="J37">
        <v>0</v>
      </c>
      <c r="K37">
        <v>1</v>
      </c>
      <c r="L37" t="s">
        <v>339</v>
      </c>
      <c r="M37">
        <v>0</v>
      </c>
      <c r="O37" s="108">
        <v>0.7</v>
      </c>
      <c r="P37" s="108">
        <v>0.7</v>
      </c>
      <c r="Q37" s="108">
        <f t="shared" si="3"/>
        <v>0.8</v>
      </c>
      <c r="R37" s="108">
        <f t="shared" si="3"/>
        <v>0.8</v>
      </c>
      <c r="S37" s="108">
        <f t="shared" si="3"/>
        <v>1</v>
      </c>
      <c r="T37" s="108">
        <f t="shared" si="3"/>
        <v>1</v>
      </c>
      <c r="U37" s="108">
        <f t="shared" si="3"/>
        <v>1.2</v>
      </c>
      <c r="V37" s="108">
        <f t="shared" si="3"/>
        <v>1.2</v>
      </c>
      <c r="W37" s="108">
        <f t="shared" si="6"/>
        <v>1.4</v>
      </c>
      <c r="X37" s="108">
        <f t="shared" si="7"/>
        <v>1.4</v>
      </c>
    </row>
    <row r="38" spans="2:24">
      <c r="B38">
        <v>5050</v>
      </c>
      <c r="C38" t="s">
        <v>457</v>
      </c>
      <c r="D38">
        <v>10</v>
      </c>
      <c r="E38" t="s">
        <v>332</v>
      </c>
      <c r="F38" t="s">
        <v>629</v>
      </c>
      <c r="G38">
        <v>0</v>
      </c>
      <c r="H38">
        <v>0</v>
      </c>
      <c r="I38">
        <v>0</v>
      </c>
      <c r="J38">
        <v>0</v>
      </c>
      <c r="K38">
        <v>0</v>
      </c>
      <c r="O38" s="108">
        <v>1.5</v>
      </c>
      <c r="P38" s="108"/>
      <c r="Q38" s="108">
        <f t="shared" si="3"/>
        <v>1.8</v>
      </c>
      <c r="R38" s="108" t="str">
        <f t="shared" si="3"/>
        <v/>
      </c>
      <c r="S38" s="108">
        <f t="shared" si="3"/>
        <v>2.2000000000000002</v>
      </c>
      <c r="T38" s="108" t="str">
        <f t="shared" si="3"/>
        <v/>
      </c>
      <c r="U38" s="108">
        <f t="shared" si="3"/>
        <v>2.6</v>
      </c>
      <c r="V38" s="108" t="str">
        <f t="shared" si="3"/>
        <v/>
      </c>
      <c r="W38" s="108">
        <f t="shared" si="6"/>
        <v>3.1</v>
      </c>
      <c r="X38" s="108" t="str">
        <f t="shared" si="7"/>
        <v/>
      </c>
    </row>
    <row r="39" spans="2:24">
      <c r="B39">
        <v>5060</v>
      </c>
      <c r="C39" t="s">
        <v>457</v>
      </c>
      <c r="D39">
        <v>12</v>
      </c>
      <c r="E39" t="s">
        <v>336</v>
      </c>
      <c r="F39" t="s">
        <v>635</v>
      </c>
      <c r="G39">
        <v>0</v>
      </c>
      <c r="H39">
        <v>0</v>
      </c>
      <c r="I39">
        <v>0</v>
      </c>
      <c r="J39">
        <v>0</v>
      </c>
      <c r="K39">
        <v>0</v>
      </c>
      <c r="O39" s="108">
        <v>1.8</v>
      </c>
      <c r="P39" s="108"/>
      <c r="Q39" s="108">
        <f t="shared" si="3"/>
        <v>2.2000000000000002</v>
      </c>
      <c r="R39" s="108" t="str">
        <f t="shared" si="3"/>
        <v/>
      </c>
      <c r="S39" s="108">
        <f t="shared" si="3"/>
        <v>2.6</v>
      </c>
      <c r="T39" s="108" t="str">
        <f t="shared" si="3"/>
        <v/>
      </c>
      <c r="U39" s="108">
        <f t="shared" si="3"/>
        <v>3.1</v>
      </c>
      <c r="V39" s="108" t="str">
        <f t="shared" si="3"/>
        <v/>
      </c>
      <c r="W39" s="108">
        <f t="shared" si="6"/>
        <v>3.7</v>
      </c>
      <c r="X39" s="108" t="str">
        <f t="shared" si="7"/>
        <v/>
      </c>
    </row>
    <row r="40" spans="2:24">
      <c r="B40">
        <v>5070</v>
      </c>
      <c r="C40" t="s">
        <v>457</v>
      </c>
      <c r="D40">
        <v>15</v>
      </c>
      <c r="E40" t="s">
        <v>335</v>
      </c>
      <c r="F40" t="s">
        <v>636</v>
      </c>
      <c r="G40">
        <v>0</v>
      </c>
      <c r="H40">
        <v>0</v>
      </c>
      <c r="I40">
        <v>0</v>
      </c>
      <c r="J40">
        <v>0</v>
      </c>
      <c r="K40">
        <v>1</v>
      </c>
      <c r="L40" t="s">
        <v>339</v>
      </c>
      <c r="M40">
        <v>0</v>
      </c>
      <c r="O40" s="108">
        <v>1</v>
      </c>
      <c r="P40" s="108">
        <v>1.2</v>
      </c>
      <c r="Q40" s="108">
        <f t="shared" si="3"/>
        <v>1.2</v>
      </c>
      <c r="R40" s="108">
        <f t="shared" si="3"/>
        <v>1.4</v>
      </c>
      <c r="S40" s="108">
        <f t="shared" si="3"/>
        <v>1.4</v>
      </c>
      <c r="T40" s="108">
        <f t="shared" si="3"/>
        <v>1.7</v>
      </c>
      <c r="U40" s="108">
        <f t="shared" si="3"/>
        <v>1.7</v>
      </c>
      <c r="V40" s="108">
        <f t="shared" si="3"/>
        <v>2</v>
      </c>
      <c r="W40" s="108">
        <f t="shared" si="6"/>
        <v>2</v>
      </c>
      <c r="X40" s="108">
        <f t="shared" si="7"/>
        <v>2.4</v>
      </c>
    </row>
    <row r="55" spans="1:24">
      <c r="A55" t="s">
        <v>662</v>
      </c>
      <c r="B55" t="s">
        <v>35</v>
      </c>
      <c r="C55" t="s">
        <v>117</v>
      </c>
      <c r="D55" t="s">
        <v>630</v>
      </c>
      <c r="E55" t="s">
        <v>23</v>
      </c>
      <c r="F55" t="s">
        <v>25</v>
      </c>
      <c r="G55" t="s">
        <v>397</v>
      </c>
      <c r="H55" t="s">
        <v>496</v>
      </c>
      <c r="I55" t="s">
        <v>192</v>
      </c>
      <c r="J55" t="s">
        <v>415</v>
      </c>
      <c r="K55" t="s">
        <v>191</v>
      </c>
      <c r="L55" t="s">
        <v>281</v>
      </c>
      <c r="M55" t="s">
        <v>284</v>
      </c>
      <c r="N55" t="s">
        <v>282</v>
      </c>
      <c r="O55" t="s">
        <v>590</v>
      </c>
      <c r="P55" t="s">
        <v>591</v>
      </c>
      <c r="Q55" t="s">
        <v>592</v>
      </c>
      <c r="R55" t="s">
        <v>593</v>
      </c>
      <c r="S55" t="s">
        <v>594</v>
      </c>
      <c r="T55" t="s">
        <v>595</v>
      </c>
      <c r="U55" t="s">
        <v>596</v>
      </c>
      <c r="V55" t="s">
        <v>597</v>
      </c>
      <c r="W55" t="s">
        <v>714</v>
      </c>
      <c r="X55" t="s">
        <v>715</v>
      </c>
    </row>
    <row r="56" spans="1:24">
      <c r="A56" t="s">
        <v>657</v>
      </c>
    </row>
  </sheetData>
  <mergeCells count="1">
    <mergeCell ref="B2:P2"/>
  </mergeCells>
  <phoneticPr fontId="4"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1E01-3A50-4714-A5D4-EA06F55D6E2B}">
  <dimension ref="A1:AS23"/>
  <sheetViews>
    <sheetView zoomScaleNormal="100" workbookViewId="0">
      <selection activeCell="A4" sqref="A4"/>
    </sheetView>
  </sheetViews>
  <sheetFormatPr defaultRowHeight="17"/>
  <cols>
    <col min="1" max="1" width="10.5" customWidth="1"/>
    <col min="2" max="25" width="20.58203125" customWidth="1"/>
    <col min="26" max="26" width="24.1640625" customWidth="1"/>
    <col min="27" max="27" width="44.5" customWidth="1"/>
    <col min="28" max="32" width="20.58203125" customWidth="1"/>
    <col min="33" max="33" width="22.9140625" customWidth="1"/>
    <col min="34" max="34" width="20.58203125" customWidth="1"/>
    <col min="35" max="35" width="26.25" customWidth="1"/>
    <col min="36" max="36" width="20.58203125" customWidth="1"/>
    <col min="37" max="37" width="25.4140625" customWidth="1"/>
    <col min="38" max="38" width="20.58203125" customWidth="1"/>
    <col min="39" max="39" width="25" customWidth="1"/>
    <col min="40" max="40" width="20.58203125" customWidth="1"/>
    <col min="41" max="41" width="24.58203125" customWidth="1"/>
    <col min="42" max="42" width="20.58203125" customWidth="1"/>
    <col min="43" max="43" width="24.58203125" customWidth="1"/>
    <col min="44" max="44" width="20.58203125" customWidth="1"/>
    <col min="45" max="45" width="24.58203125" customWidth="1"/>
  </cols>
  <sheetData>
    <row r="1" spans="1:45">
      <c r="A1" t="s">
        <v>657</v>
      </c>
    </row>
    <row r="2" spans="1:45">
      <c r="B2" s="156" t="s">
        <v>703</v>
      </c>
      <c r="C2" s="157"/>
      <c r="D2" s="157"/>
      <c r="E2" s="157"/>
      <c r="F2" s="157"/>
      <c r="G2" s="157"/>
      <c r="H2" s="157"/>
      <c r="I2" s="157"/>
      <c r="J2" s="157"/>
      <c r="K2" s="157"/>
      <c r="L2" s="157"/>
      <c r="M2" s="157"/>
      <c r="N2" s="157"/>
      <c r="O2" s="157"/>
      <c r="P2" s="157"/>
      <c r="Q2" s="157"/>
      <c r="R2" s="157"/>
      <c r="S2" s="157"/>
      <c r="T2" s="157"/>
      <c r="U2" s="157"/>
      <c r="V2" s="157"/>
    </row>
    <row r="3" spans="1:45">
      <c r="A3" t="s">
        <v>888</v>
      </c>
      <c r="B3" t="s">
        <v>892</v>
      </c>
    </row>
    <row r="4" spans="1:45">
      <c r="A4" t="s">
        <v>658</v>
      </c>
      <c r="B4" s="106" t="s">
        <v>85</v>
      </c>
      <c r="C4" s="106" t="s">
        <v>86</v>
      </c>
      <c r="D4" s="106" t="s">
        <v>86</v>
      </c>
      <c r="E4" s="106" t="s">
        <v>86</v>
      </c>
      <c r="F4" s="106" t="s">
        <v>85</v>
      </c>
      <c r="G4" s="106" t="s">
        <v>85</v>
      </c>
      <c r="H4" s="106" t="s">
        <v>85</v>
      </c>
      <c r="I4" s="106" t="s">
        <v>85</v>
      </c>
      <c r="J4" s="106" t="s">
        <v>85</v>
      </c>
      <c r="K4" s="106" t="s">
        <v>85</v>
      </c>
      <c r="L4" s="106" t="s">
        <v>85</v>
      </c>
      <c r="M4" s="106" t="s">
        <v>85</v>
      </c>
      <c r="N4" s="106" t="s">
        <v>85</v>
      </c>
      <c r="O4" s="106" t="s">
        <v>85</v>
      </c>
      <c r="P4" s="106" t="s">
        <v>85</v>
      </c>
      <c r="Q4" s="106" t="s">
        <v>85</v>
      </c>
      <c r="R4" s="106" t="s">
        <v>85</v>
      </c>
      <c r="S4" s="106" t="s">
        <v>85</v>
      </c>
      <c r="T4" s="106" t="s">
        <v>85</v>
      </c>
      <c r="U4" s="106" t="s">
        <v>659</v>
      </c>
      <c r="V4" s="106" t="s">
        <v>659</v>
      </c>
      <c r="W4" s="106" t="s">
        <v>659</v>
      </c>
      <c r="X4" s="106" t="s">
        <v>85</v>
      </c>
      <c r="Y4" s="106" t="s">
        <v>85</v>
      </c>
      <c r="Z4" s="106" t="s">
        <v>86</v>
      </c>
      <c r="AA4" s="106" t="s">
        <v>86</v>
      </c>
      <c r="AB4" s="106" t="s">
        <v>85</v>
      </c>
      <c r="AC4" s="106" t="s">
        <v>85</v>
      </c>
      <c r="AD4" s="106" t="s">
        <v>85</v>
      </c>
      <c r="AE4" s="106" t="s">
        <v>85</v>
      </c>
      <c r="AF4" s="106" t="s">
        <v>85</v>
      </c>
      <c r="AG4" s="106" t="s">
        <v>101</v>
      </c>
      <c r="AH4" s="106" t="s">
        <v>85</v>
      </c>
      <c r="AI4" s="106" t="s">
        <v>85</v>
      </c>
      <c r="AJ4" s="106" t="s">
        <v>659</v>
      </c>
      <c r="AK4" s="106" t="s">
        <v>659</v>
      </c>
      <c r="AL4" s="106" t="s">
        <v>659</v>
      </c>
      <c r="AM4" s="106" t="s">
        <v>659</v>
      </c>
      <c r="AN4" s="106" t="s">
        <v>659</v>
      </c>
      <c r="AO4" s="106" t="s">
        <v>659</v>
      </c>
      <c r="AP4" s="106" t="s">
        <v>659</v>
      </c>
      <c r="AQ4" s="106" t="s">
        <v>659</v>
      </c>
      <c r="AR4" s="106" t="s">
        <v>659</v>
      </c>
      <c r="AS4" s="106" t="s">
        <v>659</v>
      </c>
    </row>
    <row r="5" spans="1:45" ht="34">
      <c r="A5" t="s">
        <v>660</v>
      </c>
      <c r="B5" s="94" t="s">
        <v>98</v>
      </c>
      <c r="C5" s="94" t="s">
        <v>1</v>
      </c>
      <c r="D5" s="94" t="s">
        <v>76</v>
      </c>
      <c r="E5" s="94" t="s">
        <v>122</v>
      </c>
      <c r="F5" s="95" t="s">
        <v>573</v>
      </c>
      <c r="G5" s="95" t="s">
        <v>574</v>
      </c>
      <c r="H5" s="95" t="s">
        <v>575</v>
      </c>
      <c r="I5" s="95" t="s">
        <v>716</v>
      </c>
      <c r="J5" s="95" t="s">
        <v>717</v>
      </c>
      <c r="K5" s="95" t="s">
        <v>576</v>
      </c>
      <c r="L5" s="95" t="s">
        <v>577</v>
      </c>
      <c r="M5" s="95" t="s">
        <v>578</v>
      </c>
      <c r="N5" s="95" t="s">
        <v>720</v>
      </c>
      <c r="O5" s="95" t="s">
        <v>722</v>
      </c>
      <c r="P5" s="95" t="s">
        <v>579</v>
      </c>
      <c r="Q5" s="95" t="s">
        <v>580</v>
      </c>
      <c r="R5" s="95" t="s">
        <v>581</v>
      </c>
      <c r="S5" s="95" t="s">
        <v>724</v>
      </c>
      <c r="T5" s="95" t="s">
        <v>726</v>
      </c>
      <c r="U5" s="95" t="s">
        <v>126</v>
      </c>
      <c r="V5" s="95" t="s">
        <v>127</v>
      </c>
      <c r="W5" s="95" t="s">
        <v>209</v>
      </c>
      <c r="X5" s="95" t="s">
        <v>125</v>
      </c>
      <c r="Y5" s="94" t="s">
        <v>37</v>
      </c>
      <c r="Z5" s="94" t="s">
        <v>79</v>
      </c>
      <c r="AA5" s="95" t="s">
        <v>185</v>
      </c>
      <c r="AB5" s="95" t="s">
        <v>396</v>
      </c>
      <c r="AC5" s="95" t="s">
        <v>186</v>
      </c>
      <c r="AD5" s="95" t="s">
        <v>187</v>
      </c>
      <c r="AE5" s="95" t="s">
        <v>413</v>
      </c>
      <c r="AF5" s="95" t="s">
        <v>188</v>
      </c>
      <c r="AG5" s="95" t="s">
        <v>285</v>
      </c>
      <c r="AH5" s="95" t="s">
        <v>286</v>
      </c>
      <c r="AI5" s="95" t="s">
        <v>686</v>
      </c>
      <c r="AJ5" s="95" t="s">
        <v>562</v>
      </c>
      <c r="AK5" s="95" t="s">
        <v>563</v>
      </c>
      <c r="AL5" s="95" t="s">
        <v>565</v>
      </c>
      <c r="AM5" s="95" t="s">
        <v>567</v>
      </c>
      <c r="AN5" s="95" t="s">
        <v>570</v>
      </c>
      <c r="AO5" s="95" t="s">
        <v>569</v>
      </c>
      <c r="AP5" s="95" t="s">
        <v>728</v>
      </c>
      <c r="AQ5" s="95" t="s">
        <v>729</v>
      </c>
      <c r="AR5" s="95" t="s">
        <v>732</v>
      </c>
      <c r="AS5" s="95" t="s">
        <v>733</v>
      </c>
    </row>
    <row r="6" spans="1:45" ht="34">
      <c r="A6" t="s">
        <v>661</v>
      </c>
      <c r="B6" s="96">
        <v>310101</v>
      </c>
      <c r="C6" s="96" t="s">
        <v>452</v>
      </c>
      <c r="D6" s="96" t="s">
        <v>474</v>
      </c>
      <c r="E6" s="96" t="s">
        <v>213</v>
      </c>
      <c r="F6" s="96"/>
      <c r="G6" s="96"/>
      <c r="H6" s="96"/>
      <c r="I6" s="96"/>
      <c r="J6" s="96"/>
      <c r="K6" s="96">
        <v>1</v>
      </c>
      <c r="L6" s="96">
        <v>2</v>
      </c>
      <c r="M6" s="96">
        <v>3</v>
      </c>
      <c r="N6" s="96">
        <v>4</v>
      </c>
      <c r="O6" s="96">
        <v>5</v>
      </c>
      <c r="P6" s="96"/>
      <c r="Q6" s="96"/>
      <c r="R6" s="96"/>
      <c r="S6" s="96"/>
      <c r="T6" s="96"/>
      <c r="U6" s="96"/>
      <c r="V6" s="96"/>
      <c r="W6" s="96"/>
      <c r="X6" s="96"/>
      <c r="Y6" s="96">
        <v>311010</v>
      </c>
      <c r="Z6" s="96" t="s">
        <v>218</v>
      </c>
      <c r="AA6" s="101" t="s">
        <v>678</v>
      </c>
      <c r="AB6" s="101">
        <v>10</v>
      </c>
      <c r="AC6" s="96">
        <v>0</v>
      </c>
      <c r="AD6" s="96">
        <v>0</v>
      </c>
      <c r="AE6" s="96">
        <v>0</v>
      </c>
      <c r="AF6" s="96">
        <v>0</v>
      </c>
      <c r="AG6" s="96"/>
      <c r="AH6" s="96"/>
      <c r="AI6" s="96"/>
      <c r="AJ6" s="97">
        <v>1.5</v>
      </c>
      <c r="AK6" s="97"/>
      <c r="AL6" s="97">
        <f>IFERROR(IF(ROUND(AJ6*1.2,1)=0,"",ROUND(AJ6*1.2,1)),"")</f>
        <v>1.8</v>
      </c>
      <c r="AM6" s="97" t="str">
        <f t="shared" ref="AM6:AO20" si="0">IFERROR(IF(ROUND(AK6*1.2,1)=0,"",ROUND(AK6*1.2,1)),"")</f>
        <v/>
      </c>
      <c r="AN6" s="97">
        <f t="shared" si="0"/>
        <v>2.2000000000000002</v>
      </c>
      <c r="AO6" s="97" t="str">
        <f t="shared" si="0"/>
        <v/>
      </c>
      <c r="AP6" s="97">
        <f t="shared" ref="AP6:AP20" si="1">IFERROR(IF(ROUND(AN6*1.2,1)=0,"",ROUND(AN6*1.2,1)),"")</f>
        <v>2.6</v>
      </c>
      <c r="AQ6" s="97" t="str">
        <f t="shared" ref="AQ6:AQ20" si="2">IFERROR(IF(ROUND(AO6*1.2,1)=0,"",ROUND(AO6*1.2,1)),"")</f>
        <v/>
      </c>
      <c r="AR6" s="97">
        <f t="shared" ref="AR6:AR20" si="3">IFERROR(IF(ROUND(AP6*1.2,1)=0,"",ROUND(AP6*1.2,1)),"")</f>
        <v>3.1</v>
      </c>
      <c r="AS6" s="97" t="str">
        <f t="shared" ref="AS6:AS20" si="4">IFERROR(IF(ROUND(AQ6*1.2,1)=0,"",ROUND(AQ6*1.2,1)),"")</f>
        <v/>
      </c>
    </row>
    <row r="7" spans="1:45" ht="34">
      <c r="B7" s="96">
        <v>310102</v>
      </c>
      <c r="C7" s="96" t="s">
        <v>452</v>
      </c>
      <c r="D7" s="96" t="s">
        <v>475</v>
      </c>
      <c r="E7" s="96" t="s">
        <v>216</v>
      </c>
      <c r="F7" s="96"/>
      <c r="G7" s="96"/>
      <c r="H7" s="96"/>
      <c r="I7" s="96"/>
      <c r="J7" s="96"/>
      <c r="K7" s="96">
        <v>2</v>
      </c>
      <c r="L7" s="96">
        <v>3</v>
      </c>
      <c r="M7" s="96">
        <v>4</v>
      </c>
      <c r="N7" s="96">
        <v>5</v>
      </c>
      <c r="O7" s="96">
        <v>6</v>
      </c>
      <c r="P7" s="96"/>
      <c r="Q7" s="96"/>
      <c r="R7" s="96"/>
      <c r="S7" s="96"/>
      <c r="T7" s="96"/>
      <c r="U7" s="102">
        <v>0.15</v>
      </c>
      <c r="V7" s="103"/>
      <c r="W7" s="96"/>
      <c r="X7" s="96"/>
      <c r="Y7" s="96">
        <v>311020</v>
      </c>
      <c r="Z7" s="96" t="s">
        <v>330</v>
      </c>
      <c r="AA7" s="101" t="s">
        <v>599</v>
      </c>
      <c r="AB7" s="101">
        <v>30</v>
      </c>
      <c r="AC7" s="96">
        <v>0</v>
      </c>
      <c r="AD7" s="96">
        <v>0</v>
      </c>
      <c r="AE7" s="96">
        <v>1</v>
      </c>
      <c r="AF7" s="96">
        <v>0</v>
      </c>
      <c r="AG7" s="96"/>
      <c r="AH7" s="96"/>
      <c r="AI7" s="96"/>
      <c r="AJ7" s="97">
        <v>1.8</v>
      </c>
      <c r="AK7" s="97"/>
      <c r="AL7" s="97">
        <f t="shared" ref="AL7:AL20" si="5">IFERROR(IF(ROUND(AJ7*1.2,1)=0,"",ROUND(AJ7*1.2,1)),"")</f>
        <v>2.2000000000000002</v>
      </c>
      <c r="AM7" s="97" t="str">
        <f t="shared" si="0"/>
        <v/>
      </c>
      <c r="AN7" s="97">
        <f t="shared" si="0"/>
        <v>2.6</v>
      </c>
      <c r="AO7" s="97" t="str">
        <f t="shared" si="0"/>
        <v/>
      </c>
      <c r="AP7" s="97">
        <f t="shared" si="1"/>
        <v>3.1</v>
      </c>
      <c r="AQ7" s="97" t="str">
        <f t="shared" si="2"/>
        <v/>
      </c>
      <c r="AR7" s="97">
        <f t="shared" si="3"/>
        <v>3.7</v>
      </c>
      <c r="AS7" s="97" t="str">
        <f t="shared" si="4"/>
        <v/>
      </c>
    </row>
    <row r="8" spans="1:45" ht="34">
      <c r="B8" s="96">
        <v>310103</v>
      </c>
      <c r="C8" s="96" t="s">
        <v>452</v>
      </c>
      <c r="D8" s="96" t="s">
        <v>476</v>
      </c>
      <c r="E8" s="96" t="s">
        <v>214</v>
      </c>
      <c r="F8" s="96"/>
      <c r="G8" s="96"/>
      <c r="H8" s="96"/>
      <c r="I8" s="96"/>
      <c r="J8" s="96"/>
      <c r="K8" s="96">
        <v>3</v>
      </c>
      <c r="L8" s="96">
        <v>4</v>
      </c>
      <c r="M8" s="96">
        <v>5</v>
      </c>
      <c r="N8" s="96">
        <v>6</v>
      </c>
      <c r="O8" s="96">
        <v>7</v>
      </c>
      <c r="P8" s="96"/>
      <c r="Q8" s="96"/>
      <c r="R8" s="96"/>
      <c r="S8" s="96"/>
      <c r="T8" s="96"/>
      <c r="U8" s="96"/>
      <c r="V8" s="103">
        <v>0.1</v>
      </c>
      <c r="W8" s="96"/>
      <c r="X8" s="96"/>
      <c r="Y8" s="96">
        <v>311030</v>
      </c>
      <c r="Z8" s="96" t="s">
        <v>222</v>
      </c>
      <c r="AA8" s="101" t="s">
        <v>678</v>
      </c>
      <c r="AB8" s="101">
        <v>50</v>
      </c>
      <c r="AC8" s="96">
        <v>0</v>
      </c>
      <c r="AD8" s="96">
        <v>0</v>
      </c>
      <c r="AE8" s="96">
        <v>0</v>
      </c>
      <c r="AF8" s="96">
        <v>0</v>
      </c>
      <c r="AG8" s="96"/>
      <c r="AH8" s="96"/>
      <c r="AI8" s="96"/>
      <c r="AJ8" s="97">
        <v>2.5</v>
      </c>
      <c r="AK8" s="97"/>
      <c r="AL8" s="97">
        <f t="shared" si="5"/>
        <v>3</v>
      </c>
      <c r="AM8" s="97" t="str">
        <f t="shared" si="0"/>
        <v/>
      </c>
      <c r="AN8" s="97">
        <f t="shared" si="0"/>
        <v>3.6</v>
      </c>
      <c r="AO8" s="97" t="str">
        <f t="shared" si="0"/>
        <v/>
      </c>
      <c r="AP8" s="97">
        <f t="shared" si="1"/>
        <v>4.3</v>
      </c>
      <c r="AQ8" s="97" t="str">
        <f t="shared" si="2"/>
        <v/>
      </c>
      <c r="AR8" s="97">
        <f t="shared" si="3"/>
        <v>5.2</v>
      </c>
      <c r="AS8" s="97" t="str">
        <f t="shared" si="4"/>
        <v/>
      </c>
    </row>
    <row r="9" spans="1:45">
      <c r="B9" s="96">
        <v>310201</v>
      </c>
      <c r="C9" s="96" t="s">
        <v>453</v>
      </c>
      <c r="D9" s="96" t="s">
        <v>477</v>
      </c>
      <c r="E9" s="96" t="s">
        <v>213</v>
      </c>
      <c r="F9" s="96"/>
      <c r="G9" s="96"/>
      <c r="H9" s="96"/>
      <c r="I9" s="96"/>
      <c r="J9" s="96"/>
      <c r="K9" s="96">
        <v>1</v>
      </c>
      <c r="L9" s="96">
        <v>2</v>
      </c>
      <c r="M9" s="96">
        <v>3</v>
      </c>
      <c r="N9" s="96">
        <v>4</v>
      </c>
      <c r="O9" s="96">
        <v>5</v>
      </c>
      <c r="P9" s="96"/>
      <c r="Q9" s="96"/>
      <c r="R9" s="96"/>
      <c r="S9" s="96"/>
      <c r="T9" s="96"/>
      <c r="U9" s="96"/>
      <c r="V9" s="96"/>
      <c r="W9" s="96"/>
      <c r="X9" s="96"/>
      <c r="Y9" s="96">
        <v>313010</v>
      </c>
      <c r="Z9" s="96" t="s">
        <v>223</v>
      </c>
      <c r="AA9" s="101" t="s">
        <v>600</v>
      </c>
      <c r="AB9" s="101">
        <v>10</v>
      </c>
      <c r="AC9" s="96">
        <v>0</v>
      </c>
      <c r="AD9" s="96">
        <v>1</v>
      </c>
      <c r="AE9" s="96">
        <v>1</v>
      </c>
      <c r="AF9" s="96">
        <v>0</v>
      </c>
      <c r="AG9" s="96"/>
      <c r="AH9" s="96"/>
      <c r="AI9" s="96"/>
      <c r="AJ9" s="97">
        <v>1.5</v>
      </c>
      <c r="AK9" s="97"/>
      <c r="AL9" s="97">
        <f t="shared" si="5"/>
        <v>1.8</v>
      </c>
      <c r="AM9" s="97" t="str">
        <f t="shared" si="0"/>
        <v/>
      </c>
      <c r="AN9" s="97">
        <f t="shared" si="0"/>
        <v>2.2000000000000002</v>
      </c>
      <c r="AO9" s="97" t="str">
        <f t="shared" si="0"/>
        <v/>
      </c>
      <c r="AP9" s="97">
        <f t="shared" si="1"/>
        <v>2.6</v>
      </c>
      <c r="AQ9" s="97" t="str">
        <f t="shared" si="2"/>
        <v/>
      </c>
      <c r="AR9" s="97">
        <f t="shared" si="3"/>
        <v>3.1</v>
      </c>
      <c r="AS9" s="97" t="str">
        <f t="shared" si="4"/>
        <v/>
      </c>
    </row>
    <row r="10" spans="1:45" ht="51">
      <c r="B10" s="96">
        <v>310202</v>
      </c>
      <c r="C10" s="96" t="s">
        <v>453</v>
      </c>
      <c r="D10" s="96" t="s">
        <v>478</v>
      </c>
      <c r="E10" s="96" t="s">
        <v>215</v>
      </c>
      <c r="F10" s="96"/>
      <c r="G10" s="96"/>
      <c r="H10" s="96"/>
      <c r="I10" s="96"/>
      <c r="J10" s="96"/>
      <c r="K10" s="96">
        <v>2</v>
      </c>
      <c r="L10" s="96">
        <v>3</v>
      </c>
      <c r="M10" s="96">
        <v>4</v>
      </c>
      <c r="N10" s="96">
        <v>5</v>
      </c>
      <c r="O10" s="96">
        <v>6</v>
      </c>
      <c r="P10" s="96"/>
      <c r="Q10" s="96"/>
      <c r="R10" s="96"/>
      <c r="S10" s="96"/>
      <c r="T10" s="96"/>
      <c r="U10" s="102">
        <v>7.0000000000000007E-2</v>
      </c>
      <c r="V10" s="102">
        <v>7.0000000000000007E-2</v>
      </c>
      <c r="W10" s="103"/>
      <c r="X10" s="96"/>
      <c r="Y10" s="96">
        <v>313020</v>
      </c>
      <c r="Z10" s="96" t="s">
        <v>220</v>
      </c>
      <c r="AA10" s="101" t="s">
        <v>608</v>
      </c>
      <c r="AB10" s="101">
        <v>30</v>
      </c>
      <c r="AC10" s="96">
        <v>0</v>
      </c>
      <c r="AD10" s="96">
        <v>0</v>
      </c>
      <c r="AE10" s="96">
        <v>1</v>
      </c>
      <c r="AF10" s="96">
        <v>1</v>
      </c>
      <c r="AG10" s="96" t="s">
        <v>277</v>
      </c>
      <c r="AH10" s="96">
        <v>1</v>
      </c>
      <c r="AI10" s="96">
        <v>1</v>
      </c>
      <c r="AJ10" s="97">
        <v>0.8</v>
      </c>
      <c r="AK10" s="97">
        <v>0.8</v>
      </c>
      <c r="AL10" s="97">
        <f t="shared" si="5"/>
        <v>1</v>
      </c>
      <c r="AM10" s="97">
        <f t="shared" si="0"/>
        <v>1</v>
      </c>
      <c r="AN10" s="97">
        <f t="shared" si="0"/>
        <v>1.2</v>
      </c>
      <c r="AO10" s="97">
        <f t="shared" si="0"/>
        <v>1.2</v>
      </c>
      <c r="AP10" s="97">
        <f t="shared" si="1"/>
        <v>1.4</v>
      </c>
      <c r="AQ10" s="97">
        <f t="shared" si="2"/>
        <v>1.4</v>
      </c>
      <c r="AR10" s="97">
        <f t="shared" si="3"/>
        <v>1.7</v>
      </c>
      <c r="AS10" s="97">
        <f t="shared" si="4"/>
        <v>1.7</v>
      </c>
    </row>
    <row r="11" spans="1:45">
      <c r="B11" s="96">
        <v>310203</v>
      </c>
      <c r="C11" s="96" t="s">
        <v>453</v>
      </c>
      <c r="D11" s="96" t="s">
        <v>479</v>
      </c>
      <c r="E11" s="96" t="s">
        <v>214</v>
      </c>
      <c r="F11" s="96"/>
      <c r="G11" s="96"/>
      <c r="H11" s="96"/>
      <c r="I11" s="96"/>
      <c r="J11" s="96"/>
      <c r="K11" s="96">
        <v>3</v>
      </c>
      <c r="L11" s="96">
        <v>4</v>
      </c>
      <c r="M11" s="96">
        <v>5</v>
      </c>
      <c r="N11" s="96">
        <v>6</v>
      </c>
      <c r="O11" s="96">
        <v>7</v>
      </c>
      <c r="P11" s="96"/>
      <c r="Q11" s="96"/>
      <c r="R11" s="96"/>
      <c r="S11" s="96"/>
      <c r="T11" s="96"/>
      <c r="U11" s="103">
        <v>0.05</v>
      </c>
      <c r="V11" s="96"/>
      <c r="W11" s="103">
        <v>0.05</v>
      </c>
      <c r="X11" s="96"/>
      <c r="Y11" s="96">
        <v>313030</v>
      </c>
      <c r="Z11" s="96" t="s">
        <v>228</v>
      </c>
      <c r="AA11" s="101" t="s">
        <v>607</v>
      </c>
      <c r="AB11" s="101">
        <v>50</v>
      </c>
      <c r="AC11" s="96">
        <v>0</v>
      </c>
      <c r="AD11" s="96">
        <v>1</v>
      </c>
      <c r="AE11" s="96">
        <v>1</v>
      </c>
      <c r="AF11" s="96">
        <v>2</v>
      </c>
      <c r="AG11" s="96"/>
      <c r="AH11" s="96"/>
      <c r="AI11" s="96"/>
      <c r="AJ11" s="97">
        <v>1.2</v>
      </c>
      <c r="AK11" s="97"/>
      <c r="AL11" s="97">
        <f t="shared" si="5"/>
        <v>1.4</v>
      </c>
      <c r="AM11" s="97" t="str">
        <f t="shared" si="0"/>
        <v/>
      </c>
      <c r="AN11" s="97">
        <f t="shared" si="0"/>
        <v>1.7</v>
      </c>
      <c r="AO11" s="97" t="str">
        <f t="shared" si="0"/>
        <v/>
      </c>
      <c r="AP11" s="97">
        <f t="shared" si="1"/>
        <v>2</v>
      </c>
      <c r="AQ11" s="97" t="str">
        <f t="shared" si="2"/>
        <v/>
      </c>
      <c r="AR11" s="97">
        <f t="shared" si="3"/>
        <v>2.4</v>
      </c>
      <c r="AS11" s="97" t="str">
        <f t="shared" si="4"/>
        <v/>
      </c>
    </row>
    <row r="12" spans="1:45">
      <c r="B12" s="96">
        <v>310301</v>
      </c>
      <c r="C12" s="96" t="s">
        <v>454</v>
      </c>
      <c r="D12" s="96" t="s">
        <v>480</v>
      </c>
      <c r="E12" s="96" t="s">
        <v>213</v>
      </c>
      <c r="F12" s="96"/>
      <c r="G12" s="96"/>
      <c r="H12" s="96"/>
      <c r="I12" s="96"/>
      <c r="J12" s="96"/>
      <c r="K12" s="96">
        <v>1</v>
      </c>
      <c r="L12" s="96">
        <v>2</v>
      </c>
      <c r="M12" s="96">
        <v>3</v>
      </c>
      <c r="N12" s="96">
        <v>4</v>
      </c>
      <c r="O12" s="96">
        <v>5</v>
      </c>
      <c r="P12" s="96"/>
      <c r="Q12" s="96"/>
      <c r="R12" s="96"/>
      <c r="S12" s="96"/>
      <c r="T12" s="96"/>
      <c r="U12" s="96"/>
      <c r="V12" s="96"/>
      <c r="W12" s="96"/>
      <c r="X12" s="96"/>
      <c r="Y12" s="96">
        <v>312010</v>
      </c>
      <c r="Z12" s="96" t="s">
        <v>226</v>
      </c>
      <c r="AA12" s="101" t="s">
        <v>680</v>
      </c>
      <c r="AB12" s="101">
        <v>10</v>
      </c>
      <c r="AC12" s="101">
        <v>0</v>
      </c>
      <c r="AD12" s="101">
        <v>1</v>
      </c>
      <c r="AE12" s="101">
        <v>1</v>
      </c>
      <c r="AF12" s="101">
        <v>0</v>
      </c>
      <c r="AG12" s="101"/>
      <c r="AH12" s="101"/>
      <c r="AI12" s="101"/>
      <c r="AJ12" s="104">
        <v>1.5</v>
      </c>
      <c r="AK12" s="104"/>
      <c r="AL12" s="97">
        <f t="shared" si="5"/>
        <v>1.8</v>
      </c>
      <c r="AM12" s="97" t="str">
        <f t="shared" si="0"/>
        <v/>
      </c>
      <c r="AN12" s="97">
        <f t="shared" si="0"/>
        <v>2.2000000000000002</v>
      </c>
      <c r="AO12" s="97" t="str">
        <f t="shared" si="0"/>
        <v/>
      </c>
      <c r="AP12" s="97">
        <f t="shared" si="1"/>
        <v>2.6</v>
      </c>
      <c r="AQ12" s="97" t="str">
        <f t="shared" si="2"/>
        <v/>
      </c>
      <c r="AR12" s="97">
        <f t="shared" si="3"/>
        <v>3.1</v>
      </c>
      <c r="AS12" s="97" t="str">
        <f t="shared" si="4"/>
        <v/>
      </c>
    </row>
    <row r="13" spans="1:45" ht="34">
      <c r="B13" s="96">
        <v>310302</v>
      </c>
      <c r="C13" s="96" t="s">
        <v>454</v>
      </c>
      <c r="D13" s="96" t="s">
        <v>481</v>
      </c>
      <c r="E13" s="96" t="s">
        <v>215</v>
      </c>
      <c r="F13" s="96"/>
      <c r="G13" s="96"/>
      <c r="H13" s="96"/>
      <c r="I13" s="96"/>
      <c r="J13" s="96"/>
      <c r="K13" s="96">
        <v>2</v>
      </c>
      <c r="L13" s="96">
        <v>3</v>
      </c>
      <c r="M13" s="96">
        <v>4</v>
      </c>
      <c r="N13" s="96">
        <v>5</v>
      </c>
      <c r="O13" s="96">
        <v>6</v>
      </c>
      <c r="P13" s="96"/>
      <c r="Q13" s="96"/>
      <c r="R13" s="96"/>
      <c r="S13" s="96"/>
      <c r="T13" s="96"/>
      <c r="U13" s="103"/>
      <c r="V13" s="102">
        <v>0.15</v>
      </c>
      <c r="W13" s="96"/>
      <c r="X13" s="96"/>
      <c r="Y13" s="96">
        <v>312020</v>
      </c>
      <c r="Z13" s="96" t="s">
        <v>219</v>
      </c>
      <c r="AA13" s="101" t="s">
        <v>679</v>
      </c>
      <c r="AB13" s="101">
        <v>30</v>
      </c>
      <c r="AC13" s="101">
        <v>0</v>
      </c>
      <c r="AD13" s="101">
        <v>0</v>
      </c>
      <c r="AE13" s="101">
        <v>0</v>
      </c>
      <c r="AF13" s="101">
        <v>1</v>
      </c>
      <c r="AG13" s="101" t="s">
        <v>499</v>
      </c>
      <c r="AH13" s="101">
        <v>0</v>
      </c>
      <c r="AI13" s="101"/>
      <c r="AJ13" s="104">
        <v>1.2</v>
      </c>
      <c r="AK13" s="104"/>
      <c r="AL13" s="97">
        <f t="shared" si="5"/>
        <v>1.4</v>
      </c>
      <c r="AM13" s="97" t="str">
        <f t="shared" si="0"/>
        <v/>
      </c>
      <c r="AN13" s="97">
        <f t="shared" si="0"/>
        <v>1.7</v>
      </c>
      <c r="AO13" s="97" t="str">
        <f t="shared" si="0"/>
        <v/>
      </c>
      <c r="AP13" s="97">
        <f t="shared" si="1"/>
        <v>2</v>
      </c>
      <c r="AQ13" s="97" t="str">
        <f t="shared" si="2"/>
        <v/>
      </c>
      <c r="AR13" s="97">
        <f t="shared" si="3"/>
        <v>2.4</v>
      </c>
      <c r="AS13" s="97" t="str">
        <f t="shared" si="4"/>
        <v/>
      </c>
    </row>
    <row r="14" spans="1:45" ht="51">
      <c r="B14" s="96">
        <v>310303</v>
      </c>
      <c r="C14" s="96" t="s">
        <v>454</v>
      </c>
      <c r="D14" s="96" t="s">
        <v>482</v>
      </c>
      <c r="E14" s="96" t="s">
        <v>214</v>
      </c>
      <c r="F14" s="96"/>
      <c r="G14" s="96"/>
      <c r="H14" s="96"/>
      <c r="I14" s="96"/>
      <c r="J14" s="96"/>
      <c r="K14" s="96">
        <v>3</v>
      </c>
      <c r="L14" s="96">
        <v>4</v>
      </c>
      <c r="M14" s="96">
        <v>5</v>
      </c>
      <c r="N14" s="96">
        <v>6</v>
      </c>
      <c r="O14" s="96">
        <v>7</v>
      </c>
      <c r="P14" s="96"/>
      <c r="Q14" s="96"/>
      <c r="R14" s="96"/>
      <c r="S14" s="96"/>
      <c r="T14" s="96"/>
      <c r="U14" s="103">
        <v>0.1</v>
      </c>
      <c r="V14" s="96"/>
      <c r="W14" s="96"/>
      <c r="X14" s="96"/>
      <c r="Y14" s="96">
        <v>312030</v>
      </c>
      <c r="Z14" s="96" t="s">
        <v>227</v>
      </c>
      <c r="AA14" s="101" t="s">
        <v>681</v>
      </c>
      <c r="AB14" s="101">
        <v>50</v>
      </c>
      <c r="AC14" s="101">
        <v>0</v>
      </c>
      <c r="AD14" s="101">
        <v>1</v>
      </c>
      <c r="AE14" s="101">
        <v>1</v>
      </c>
      <c r="AF14" s="101">
        <v>0</v>
      </c>
      <c r="AG14" s="101"/>
      <c r="AH14" s="101"/>
      <c r="AI14" s="101"/>
      <c r="AJ14" s="104">
        <v>1.2</v>
      </c>
      <c r="AK14" s="104">
        <v>1.2</v>
      </c>
      <c r="AL14" s="97">
        <f t="shared" si="5"/>
        <v>1.4</v>
      </c>
      <c r="AM14" s="97">
        <f t="shared" si="0"/>
        <v>1.4</v>
      </c>
      <c r="AN14" s="97">
        <f t="shared" si="0"/>
        <v>1.7</v>
      </c>
      <c r="AO14" s="97">
        <f t="shared" si="0"/>
        <v>1.7</v>
      </c>
      <c r="AP14" s="97">
        <f t="shared" si="1"/>
        <v>2</v>
      </c>
      <c r="AQ14" s="97">
        <f t="shared" si="2"/>
        <v>2</v>
      </c>
      <c r="AR14" s="97">
        <f t="shared" si="3"/>
        <v>2.4</v>
      </c>
      <c r="AS14" s="97">
        <f t="shared" si="4"/>
        <v>2.4</v>
      </c>
    </row>
    <row r="15" spans="1:45">
      <c r="B15" s="96">
        <v>310401</v>
      </c>
      <c r="C15" s="96" t="s">
        <v>455</v>
      </c>
      <c r="D15" s="96" t="s">
        <v>483</v>
      </c>
      <c r="E15" s="96" t="s">
        <v>213</v>
      </c>
      <c r="F15" s="96"/>
      <c r="G15" s="96"/>
      <c r="H15" s="96"/>
      <c r="I15" s="96"/>
      <c r="J15" s="96"/>
      <c r="K15" s="96">
        <v>1</v>
      </c>
      <c r="L15" s="96">
        <v>2</v>
      </c>
      <c r="M15" s="96">
        <v>3</v>
      </c>
      <c r="N15" s="96">
        <v>4</v>
      </c>
      <c r="O15" s="96">
        <v>5</v>
      </c>
      <c r="P15" s="96"/>
      <c r="Q15" s="96"/>
      <c r="R15" s="96"/>
      <c r="S15" s="96"/>
      <c r="T15" s="96"/>
      <c r="U15" s="96"/>
      <c r="V15" s="96"/>
      <c r="W15" s="96"/>
      <c r="X15" s="96"/>
      <c r="Y15" s="96">
        <v>314010</v>
      </c>
      <c r="Z15" s="96" t="s">
        <v>224</v>
      </c>
      <c r="AA15" s="101" t="s">
        <v>682</v>
      </c>
      <c r="AB15" s="101">
        <v>10</v>
      </c>
      <c r="AC15" s="101">
        <v>0</v>
      </c>
      <c r="AD15" s="101">
        <v>1</v>
      </c>
      <c r="AE15" s="101">
        <v>1</v>
      </c>
      <c r="AF15" s="101">
        <v>0</v>
      </c>
      <c r="AG15" s="101"/>
      <c r="AH15" s="101"/>
      <c r="AI15" s="101"/>
      <c r="AJ15" s="104">
        <v>1.5</v>
      </c>
      <c r="AK15" s="104"/>
      <c r="AL15" s="97">
        <f t="shared" si="5"/>
        <v>1.8</v>
      </c>
      <c r="AM15" s="97" t="str">
        <f t="shared" si="0"/>
        <v/>
      </c>
      <c r="AN15" s="97">
        <f t="shared" si="0"/>
        <v>2.2000000000000002</v>
      </c>
      <c r="AO15" s="97" t="str">
        <f t="shared" si="0"/>
        <v/>
      </c>
      <c r="AP15" s="97">
        <f t="shared" si="1"/>
        <v>2.6</v>
      </c>
      <c r="AQ15" s="97" t="str">
        <f t="shared" si="2"/>
        <v/>
      </c>
      <c r="AR15" s="97">
        <f t="shared" si="3"/>
        <v>3.1</v>
      </c>
      <c r="AS15" s="97" t="str">
        <f t="shared" si="4"/>
        <v/>
      </c>
    </row>
    <row r="16" spans="1:45" ht="51">
      <c r="B16" s="96">
        <v>310402</v>
      </c>
      <c r="C16" s="96" t="s">
        <v>455</v>
      </c>
      <c r="D16" s="96" t="s">
        <v>484</v>
      </c>
      <c r="E16" s="96" t="s">
        <v>217</v>
      </c>
      <c r="F16" s="96"/>
      <c r="G16" s="96"/>
      <c r="H16" s="96"/>
      <c r="I16" s="96"/>
      <c r="J16" s="96"/>
      <c r="K16" s="105">
        <v>5</v>
      </c>
      <c r="L16" s="105">
        <v>6</v>
      </c>
      <c r="M16" s="105">
        <v>7</v>
      </c>
      <c r="N16" s="96">
        <v>8</v>
      </c>
      <c r="O16" s="96">
        <v>9</v>
      </c>
      <c r="P16" s="96"/>
      <c r="Q16" s="96"/>
      <c r="R16" s="96"/>
      <c r="S16" s="96"/>
      <c r="T16" s="96"/>
      <c r="U16" s="102">
        <v>0.1</v>
      </c>
      <c r="V16" s="96"/>
      <c r="W16" s="103"/>
      <c r="X16" s="96"/>
      <c r="Y16" s="96">
        <v>314020</v>
      </c>
      <c r="Z16" s="96" t="s">
        <v>221</v>
      </c>
      <c r="AA16" s="101" t="s">
        <v>683</v>
      </c>
      <c r="AB16" s="101">
        <v>30</v>
      </c>
      <c r="AC16" s="101">
        <v>0</v>
      </c>
      <c r="AD16" s="101">
        <v>0</v>
      </c>
      <c r="AE16" s="101">
        <v>0</v>
      </c>
      <c r="AF16" s="101">
        <v>0</v>
      </c>
      <c r="AG16" s="101"/>
      <c r="AH16" s="101"/>
      <c r="AI16" s="101"/>
      <c r="AJ16" s="104">
        <v>1.8</v>
      </c>
      <c r="AK16" s="104"/>
      <c r="AL16" s="97">
        <f t="shared" si="5"/>
        <v>2.2000000000000002</v>
      </c>
      <c r="AM16" s="97" t="str">
        <f t="shared" si="0"/>
        <v/>
      </c>
      <c r="AN16" s="97">
        <f t="shared" si="0"/>
        <v>2.6</v>
      </c>
      <c r="AO16" s="97" t="str">
        <f t="shared" si="0"/>
        <v/>
      </c>
      <c r="AP16" s="97">
        <f t="shared" si="1"/>
        <v>3.1</v>
      </c>
      <c r="AQ16" s="97" t="str">
        <f t="shared" si="2"/>
        <v/>
      </c>
      <c r="AR16" s="97">
        <f t="shared" si="3"/>
        <v>3.7</v>
      </c>
      <c r="AS16" s="97" t="str">
        <f t="shared" si="4"/>
        <v/>
      </c>
    </row>
    <row r="17" spans="1:45" ht="34">
      <c r="B17" s="96">
        <v>310403</v>
      </c>
      <c r="C17" s="96" t="s">
        <v>455</v>
      </c>
      <c r="D17" s="96" t="s">
        <v>485</v>
      </c>
      <c r="E17" s="96" t="s">
        <v>214</v>
      </c>
      <c r="F17" s="96"/>
      <c r="G17" s="96"/>
      <c r="H17" s="96"/>
      <c r="I17" s="96"/>
      <c r="J17" s="96"/>
      <c r="K17" s="96">
        <v>3</v>
      </c>
      <c r="L17" s="96">
        <v>4</v>
      </c>
      <c r="M17" s="96">
        <v>5</v>
      </c>
      <c r="N17" s="96">
        <v>6</v>
      </c>
      <c r="O17" s="96">
        <v>7</v>
      </c>
      <c r="P17" s="96"/>
      <c r="Q17" s="96"/>
      <c r="R17" s="96"/>
      <c r="S17" s="96"/>
      <c r="T17" s="96"/>
      <c r="U17" s="96"/>
      <c r="V17" s="96"/>
      <c r="W17" s="103">
        <v>0.1</v>
      </c>
      <c r="X17" s="96"/>
      <c r="Y17" s="96">
        <v>314030</v>
      </c>
      <c r="Z17" s="96" t="s">
        <v>225</v>
      </c>
      <c r="AA17" s="101" t="s">
        <v>684</v>
      </c>
      <c r="AB17" s="101">
        <v>50</v>
      </c>
      <c r="AC17" s="101">
        <v>0</v>
      </c>
      <c r="AD17" s="101">
        <v>1</v>
      </c>
      <c r="AE17" s="101">
        <v>1</v>
      </c>
      <c r="AF17" s="101">
        <v>2</v>
      </c>
      <c r="AG17" s="101"/>
      <c r="AH17" s="101"/>
      <c r="AI17" s="101"/>
      <c r="AJ17" s="104">
        <v>1.5</v>
      </c>
      <c r="AK17" s="104"/>
      <c r="AL17" s="97">
        <f t="shared" si="5"/>
        <v>1.8</v>
      </c>
      <c r="AM17" s="97" t="str">
        <f t="shared" si="0"/>
        <v/>
      </c>
      <c r="AN17" s="97">
        <f t="shared" si="0"/>
        <v>2.2000000000000002</v>
      </c>
      <c r="AO17" s="97" t="str">
        <f t="shared" si="0"/>
        <v/>
      </c>
      <c r="AP17" s="97">
        <f t="shared" si="1"/>
        <v>2.6</v>
      </c>
      <c r="AQ17" s="97" t="str">
        <f t="shared" si="2"/>
        <v/>
      </c>
      <c r="AR17" s="97">
        <f t="shared" si="3"/>
        <v>3.1</v>
      </c>
      <c r="AS17" s="97" t="str">
        <f t="shared" si="4"/>
        <v/>
      </c>
    </row>
    <row r="18" spans="1:45" ht="34">
      <c r="B18" s="96">
        <v>310501</v>
      </c>
      <c r="C18" s="96" t="s">
        <v>457</v>
      </c>
      <c r="D18" s="96" t="s">
        <v>487</v>
      </c>
      <c r="E18" s="96" t="s">
        <v>213</v>
      </c>
      <c r="F18" s="96"/>
      <c r="G18" s="96"/>
      <c r="H18" s="96"/>
      <c r="I18" s="96"/>
      <c r="J18" s="96"/>
      <c r="K18" s="96">
        <v>1</v>
      </c>
      <c r="L18" s="96">
        <v>2</v>
      </c>
      <c r="M18" s="96">
        <v>3</v>
      </c>
      <c r="N18" s="96">
        <v>4</v>
      </c>
      <c r="O18" s="96">
        <v>5</v>
      </c>
      <c r="P18" s="96"/>
      <c r="Q18" s="96"/>
      <c r="R18" s="96"/>
      <c r="S18" s="96"/>
      <c r="T18" s="96"/>
      <c r="U18" s="96"/>
      <c r="V18" s="96"/>
      <c r="W18" s="96"/>
      <c r="X18" s="96"/>
      <c r="Y18" s="96">
        <v>315010</v>
      </c>
      <c r="Z18" s="96" t="s">
        <v>338</v>
      </c>
      <c r="AA18" s="101" t="s">
        <v>678</v>
      </c>
      <c r="AB18" s="101">
        <v>10</v>
      </c>
      <c r="AC18" s="96">
        <v>0</v>
      </c>
      <c r="AD18" s="96">
        <v>0</v>
      </c>
      <c r="AE18" s="96">
        <v>0</v>
      </c>
      <c r="AF18" s="96">
        <v>0</v>
      </c>
      <c r="AG18" s="96"/>
      <c r="AH18" s="96"/>
      <c r="AI18" s="96"/>
      <c r="AJ18" s="97">
        <v>1.5</v>
      </c>
      <c r="AK18" s="97"/>
      <c r="AL18" s="97">
        <f t="shared" si="5"/>
        <v>1.8</v>
      </c>
      <c r="AM18" s="97" t="str">
        <f t="shared" si="0"/>
        <v/>
      </c>
      <c r="AN18" s="97">
        <f t="shared" si="0"/>
        <v>2.2000000000000002</v>
      </c>
      <c r="AO18" s="97" t="str">
        <f t="shared" si="0"/>
        <v/>
      </c>
      <c r="AP18" s="97">
        <f t="shared" si="1"/>
        <v>2.6</v>
      </c>
      <c r="AQ18" s="97" t="str">
        <f t="shared" si="2"/>
        <v/>
      </c>
      <c r="AR18" s="97">
        <f t="shared" si="3"/>
        <v>3.1</v>
      </c>
      <c r="AS18" s="97" t="str">
        <f t="shared" si="4"/>
        <v/>
      </c>
    </row>
    <row r="19" spans="1:45" ht="51">
      <c r="B19" s="96">
        <v>310502</v>
      </c>
      <c r="C19" s="96" t="s">
        <v>457</v>
      </c>
      <c r="D19" s="96" t="s">
        <v>488</v>
      </c>
      <c r="E19" s="96" t="s">
        <v>216</v>
      </c>
      <c r="F19" s="96"/>
      <c r="G19" s="96"/>
      <c r="H19" s="96"/>
      <c r="I19" s="96"/>
      <c r="J19" s="96"/>
      <c r="K19" s="96">
        <v>2</v>
      </c>
      <c r="L19" s="96">
        <v>3</v>
      </c>
      <c r="M19" s="96">
        <v>4</v>
      </c>
      <c r="N19" s="96">
        <v>5</v>
      </c>
      <c r="O19" s="96">
        <v>6</v>
      </c>
      <c r="P19" s="96"/>
      <c r="Q19" s="96"/>
      <c r="R19" s="96"/>
      <c r="S19" s="96"/>
      <c r="T19" s="96"/>
      <c r="U19" s="102">
        <v>7.0000000000000007E-2</v>
      </c>
      <c r="V19" s="96"/>
      <c r="W19" s="102">
        <v>7.0000000000000007E-2</v>
      </c>
      <c r="X19" s="96"/>
      <c r="Y19" s="96">
        <v>315020</v>
      </c>
      <c r="Z19" s="96" t="s">
        <v>340</v>
      </c>
      <c r="AA19" s="101" t="s">
        <v>685</v>
      </c>
      <c r="AB19" s="101">
        <v>30</v>
      </c>
      <c r="AC19" s="96">
        <v>0</v>
      </c>
      <c r="AD19" s="96">
        <v>1</v>
      </c>
      <c r="AE19" s="96">
        <v>0</v>
      </c>
      <c r="AF19" s="96">
        <v>0</v>
      </c>
      <c r="AG19" s="96"/>
      <c r="AH19" s="96"/>
      <c r="AI19" s="96"/>
      <c r="AJ19" s="97">
        <v>1.8</v>
      </c>
      <c r="AK19" s="97"/>
      <c r="AL19" s="97">
        <f t="shared" si="5"/>
        <v>2.2000000000000002</v>
      </c>
      <c r="AM19" s="97" t="str">
        <f t="shared" si="0"/>
        <v/>
      </c>
      <c r="AN19" s="97">
        <f t="shared" si="0"/>
        <v>2.6</v>
      </c>
      <c r="AO19" s="97" t="str">
        <f t="shared" si="0"/>
        <v/>
      </c>
      <c r="AP19" s="97">
        <f t="shared" si="1"/>
        <v>3.1</v>
      </c>
      <c r="AQ19" s="97" t="str">
        <f t="shared" si="2"/>
        <v/>
      </c>
      <c r="AR19" s="97">
        <f t="shared" si="3"/>
        <v>3.7</v>
      </c>
      <c r="AS19" s="97" t="str">
        <f t="shared" si="4"/>
        <v/>
      </c>
    </row>
    <row r="20" spans="1:45" ht="34">
      <c r="B20" s="96">
        <v>310503</v>
      </c>
      <c r="C20" s="96" t="s">
        <v>457</v>
      </c>
      <c r="D20" s="96" t="s">
        <v>489</v>
      </c>
      <c r="E20" s="96" t="s">
        <v>214</v>
      </c>
      <c r="F20" s="96"/>
      <c r="G20" s="96"/>
      <c r="H20" s="96"/>
      <c r="I20" s="96"/>
      <c r="J20" s="96"/>
      <c r="K20" s="96">
        <v>3</v>
      </c>
      <c r="L20" s="96">
        <v>4</v>
      </c>
      <c r="M20" s="96">
        <v>5</v>
      </c>
      <c r="N20" s="96">
        <v>6</v>
      </c>
      <c r="O20" s="96">
        <v>7</v>
      </c>
      <c r="P20" s="96"/>
      <c r="Q20" s="96"/>
      <c r="R20" s="96"/>
      <c r="S20" s="96"/>
      <c r="T20" s="96"/>
      <c r="U20" s="103">
        <v>0.1</v>
      </c>
      <c r="V20" s="96"/>
      <c r="W20" s="96"/>
      <c r="X20" s="96"/>
      <c r="Y20" s="96">
        <v>315030</v>
      </c>
      <c r="Z20" s="96" t="s">
        <v>337</v>
      </c>
      <c r="AA20" s="101" t="s">
        <v>678</v>
      </c>
      <c r="AB20" s="101">
        <v>50</v>
      </c>
      <c r="AC20" s="96">
        <v>0</v>
      </c>
      <c r="AD20" s="96">
        <v>0</v>
      </c>
      <c r="AE20" s="96">
        <v>0</v>
      </c>
      <c r="AF20" s="96">
        <v>0</v>
      </c>
      <c r="AG20" s="96"/>
      <c r="AH20" s="96"/>
      <c r="AI20" s="96"/>
      <c r="AJ20" s="97">
        <v>2.5</v>
      </c>
      <c r="AK20" s="97"/>
      <c r="AL20" s="97">
        <f t="shared" si="5"/>
        <v>3</v>
      </c>
      <c r="AM20" s="97" t="str">
        <f t="shared" si="0"/>
        <v/>
      </c>
      <c r="AN20" s="97">
        <f t="shared" si="0"/>
        <v>3.6</v>
      </c>
      <c r="AO20" s="97" t="str">
        <f t="shared" si="0"/>
        <v/>
      </c>
      <c r="AP20" s="97">
        <f t="shared" si="1"/>
        <v>4.3</v>
      </c>
      <c r="AQ20" s="97" t="str">
        <f t="shared" si="2"/>
        <v/>
      </c>
      <c r="AR20" s="97">
        <f t="shared" si="3"/>
        <v>5.2</v>
      </c>
      <c r="AS20" s="97" t="str">
        <f t="shared" si="4"/>
        <v/>
      </c>
    </row>
    <row r="22" spans="1:45">
      <c r="A22" t="s">
        <v>662</v>
      </c>
    </row>
    <row r="23" spans="1:45" ht="102">
      <c r="A23" t="s">
        <v>657</v>
      </c>
      <c r="B23" s="89" t="s">
        <v>687</v>
      </c>
      <c r="C23" s="90" t="s">
        <v>688</v>
      </c>
      <c r="D23" s="90" t="s">
        <v>689</v>
      </c>
      <c r="E23" s="90" t="s">
        <v>668</v>
      </c>
      <c r="F23" s="90" t="s">
        <v>690</v>
      </c>
      <c r="G23" s="90" t="s">
        <v>691</v>
      </c>
      <c r="H23" s="90" t="s">
        <v>692</v>
      </c>
      <c r="I23" s="90" t="s">
        <v>718</v>
      </c>
      <c r="J23" s="90" t="s">
        <v>719</v>
      </c>
      <c r="K23" s="90" t="s">
        <v>693</v>
      </c>
      <c r="L23" s="90" t="s">
        <v>694</v>
      </c>
      <c r="M23" s="90" t="s">
        <v>695</v>
      </c>
      <c r="N23" s="90" t="s">
        <v>721</v>
      </c>
      <c r="O23" s="90" t="s">
        <v>723</v>
      </c>
      <c r="P23" s="90" t="s">
        <v>696</v>
      </c>
      <c r="Q23" s="90" t="s">
        <v>697</v>
      </c>
      <c r="R23" s="90" t="s">
        <v>698</v>
      </c>
      <c r="S23" s="90" t="s">
        <v>725</v>
      </c>
      <c r="T23" s="90" t="s">
        <v>727</v>
      </c>
      <c r="U23" s="90" t="s">
        <v>699</v>
      </c>
      <c r="V23" s="90" t="s">
        <v>700</v>
      </c>
      <c r="W23" s="90" t="s">
        <v>701</v>
      </c>
      <c r="X23" s="90" t="s">
        <v>702</v>
      </c>
      <c r="Y23" s="90" t="s">
        <v>705</v>
      </c>
      <c r="Z23" s="96" t="s">
        <v>706</v>
      </c>
      <c r="AA23" s="101" t="s">
        <v>707</v>
      </c>
      <c r="AB23" s="107" t="s">
        <v>397</v>
      </c>
      <c r="AC23" s="95" t="s">
        <v>497</v>
      </c>
      <c r="AD23" s="95" t="s">
        <v>189</v>
      </c>
      <c r="AE23" s="95" t="s">
        <v>416</v>
      </c>
      <c r="AF23" s="95" t="s">
        <v>190</v>
      </c>
      <c r="AG23" s="95" t="s">
        <v>288</v>
      </c>
      <c r="AH23" s="95" t="s">
        <v>289</v>
      </c>
      <c r="AI23" s="95" t="s">
        <v>290</v>
      </c>
      <c r="AJ23" s="95" t="s">
        <v>561</v>
      </c>
      <c r="AK23" s="95" t="s">
        <v>564</v>
      </c>
      <c r="AL23" s="95" t="s">
        <v>566</v>
      </c>
      <c r="AM23" s="95" t="s">
        <v>568</v>
      </c>
      <c r="AN23" s="95" t="s">
        <v>571</v>
      </c>
      <c r="AO23" s="95" t="s">
        <v>572</v>
      </c>
      <c r="AP23" s="95" t="s">
        <v>730</v>
      </c>
      <c r="AQ23" s="95" t="s">
        <v>731</v>
      </c>
      <c r="AR23" s="95" t="s">
        <v>734</v>
      </c>
      <c r="AS23" s="95" t="s">
        <v>735</v>
      </c>
    </row>
  </sheetData>
  <mergeCells count="1">
    <mergeCell ref="B2:V2"/>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문서 개요</vt:lpstr>
      <vt:lpstr>스테이터스</vt:lpstr>
      <vt:lpstr>성장 시스템</vt:lpstr>
      <vt:lpstr>필드 정의</vt:lpstr>
      <vt:lpstr>직업 스킬(기획용)</vt:lpstr>
      <vt:lpstr>무기(기획용)</vt:lpstr>
      <vt:lpstr>스탯 시뮬</vt:lpstr>
      <vt:lpstr>범례(시뮬용)</vt:lpstr>
      <vt:lpstr>전투 시뮬</vt:lpstr>
      <vt:lpstr>자동 결과 공식</vt:lpstr>
      <vt:lpstr>아군 유닛</vt:lpstr>
      <vt:lpstr>유닛 성장 경험치</vt:lpstr>
      <vt:lpstr>적군 유닛</vt:lpstr>
      <vt:lpstr>적군 부대</vt:lpstr>
      <vt:lpstr>직업 스킬</vt:lpstr>
      <vt:lpstr>무기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k2503200039</dc:creator>
  <cp:lastModifiedBy>user</cp:lastModifiedBy>
  <dcterms:created xsi:type="dcterms:W3CDTF">2026-03-30T01:14:21Z</dcterms:created>
  <dcterms:modified xsi:type="dcterms:W3CDTF">2026-06-30T06:51:44Z</dcterms:modified>
</cp:coreProperties>
</file>