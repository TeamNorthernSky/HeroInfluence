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2104200039\Desktop\작업\. 문서\"/>
    </mc:Choice>
  </mc:AlternateContent>
  <xr:revisionPtr revIDLastSave="0" documentId="13_ncr:1_{A565F8C6-A296-41EC-87E8-DC25DCD76A96}" xr6:coauthVersionLast="47" xr6:coauthVersionMax="47" xr10:uidLastSave="{00000000-0000-0000-0000-000000000000}"/>
  <bookViews>
    <workbookView xWindow="-120" yWindow="-120" windowWidth="38640" windowHeight="21120" tabRatio="817" activeTab="6" xr2:uid="{00000000-000D-0000-FFFF-FFFF00000000}"/>
  </bookViews>
  <sheets>
    <sheet name="문서 개요" sheetId="1" r:id="rId1"/>
    <sheet name="이벤트 필드 정의" sheetId="29" r:id="rId2"/>
    <sheet name="소비형 (NPC형)" sheetId="24" r:id="rId3"/>
    <sheet name="소비형 (조건형)" sheetId="31" r:id="rId4"/>
    <sheet name="소비형 (결과)" sheetId="30" r:id="rId5"/>
    <sheet name="보상형 (NPC형)" sheetId="25" r:id="rId6"/>
    <sheet name="보상형 (조건형)" sheetId="33" r:id="rId7"/>
    <sheet name="선택형 (NPC형)" sheetId="34" r:id="rId8"/>
    <sheet name="선택형 (조건형)" sheetId="26" r:id="rId9"/>
    <sheet name="선택형 (선택지)" sheetId="27" r:id="rId10"/>
    <sheet name="선택형 (선택결과)" sheetId="28" r:id="rId11"/>
    <sheet name="획득 계산기" sheetId="35" r:id="rId12"/>
    <sheet name="월드 이벤트(원본)" sheetId="20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5" l="1"/>
  <c r="D7" i="35"/>
  <c r="C7" i="35"/>
  <c r="E6" i="35"/>
  <c r="D6" i="35"/>
  <c r="C6" i="35"/>
  <c r="E5" i="35"/>
  <c r="D5" i="35"/>
  <c r="C5" i="35"/>
  <c r="E4" i="35"/>
  <c r="D4" i="35"/>
  <c r="C4" i="35"/>
  <c r="E3" i="35"/>
  <c r="D3" i="35"/>
  <c r="C3" i="35"/>
  <c r="G7" i="35"/>
  <c r="F7" i="35"/>
  <c r="G6" i="35"/>
  <c r="F6" i="35"/>
  <c r="G5" i="35"/>
  <c r="F5" i="35"/>
  <c r="G4" i="35"/>
  <c r="F4" i="35"/>
  <c r="G3" i="35"/>
  <c r="F3" i="35"/>
  <c r="H7" i="35" l="1"/>
  <c r="H4" i="35"/>
  <c r="H6" i="35"/>
  <c r="H3" i="35"/>
  <c r="H5" i="35"/>
</calcChain>
</file>

<file path=xl/sharedStrings.xml><?xml version="1.0" encoding="utf-8"?>
<sst xmlns="http://schemas.openxmlformats.org/spreadsheetml/2006/main" count="1375" uniqueCount="764">
  <si>
    <t>《Hero Influence》 이벤트 데이터 테이블</t>
  </si>
  <si>
    <t>수정 날짜</t>
  </si>
  <si>
    <t>버전</t>
  </si>
  <si>
    <t>담당자</t>
  </si>
  <si>
    <t>수정 내역</t>
  </si>
  <si>
    <t>비고</t>
  </si>
  <si>
    <t>V1.0</t>
  </si>
  <si>
    <t>윤태일</t>
  </si>
  <si>
    <t>자원 테이블에서 분리
이벤트 필드 정의 시트 추가 및 영문 필드명 보완</t>
  </si>
  <si>
    <t>V1.1</t>
  </si>
  <si>
    <t>소비형 수락, 취소 대사 추가</t>
  </si>
  <si>
    <t>V1.2</t>
  </si>
  <si>
    <t>특정 조건 전용 시트 추가
조건 필드 분리·필드 정의 동기화
ID·참조·표시 규칙 정리</t>
  </si>
  <si>
    <t>V1.3</t>
  </si>
  <si>
    <t>조건형 이벤트 1차 내용 작성</t>
  </si>
  <si>
    <t>V1.4</t>
  </si>
  <si>
    <t>테이블 오류 수정
조건형 진행 피드백 필드 추가</t>
  </si>
  <si>
    <t>V1.5</t>
  </si>
  <si>
    <t>이벤트 추가 데이터 초기값 생성</t>
  </si>
  <si>
    <t>V1.6</t>
  </si>
  <si>
    <t>아이디 방식 변경</t>
  </si>
  <si>
    <t>1. 문서 목적</t>
  </si>
  <si>
    <t>본 문서는 월드 이벤트의 기본 정보와 유형별 진행 데이터를 관리하기 위한 데이터 테이블이다.
월드 이벤트는 소비형, 보상형, 선택형으로 구분한다.이벤트 구성과 수치 밸런스는 레벨디자인에서 입력·조정한다.</t>
  </si>
  <si>
    <t>2. 문서 기획 의도</t>
  </si>
  <si>
    <t xml:space="preserve"> 1) 플레이어가 제한된 턴과 이동 자원 안에서 이벤트 진행 여부를 고민하게 한다.
 2) 이벤트 진행에 있어 흥미와 재미를 가질 수 있도록 한다.
 3) 이벤트 진행으로 성장 밸런스가 적절히 되어야 한다.</t>
  </si>
  <si>
    <t>3. 문서 범위</t>
  </si>
  <si>
    <t xml:space="preserve"> 1) &lt;탐사·월드이벤트 시스템&gt;의 소비형, 보상형, 선택형 월드 이벤트 기본 정보 테이블화
 2) 월드 이벤트별 구역, NPC, 표시 대사 및 발동 조건 테이블화
 3) 소비형 이벤트의 소비 재화와 적용 효과 테이블화
 4) 보상형 이벤트의 지급 재화·스테이터스와 지급 수치 테이블화
 5) 선택형 이벤트의 선택지, 활성 조건, 기본 성공 확률 및 결과 안내 문구 테이블화
 6) 선택지별 성공·실패 결과와 적용 대상, 효과 종류 및 적용 수치 연결 구조 구성
 다음 내용은 본 문서에서 직접 다루지 않고 다른 문서의 내용을 참조한다.
 1) 월드 이벤트의 발동, 진행, 취소, 완료 및 UI 출력 규칙 → 탐사·월드이벤트 시스템
 2) 재화 종류, 획득 규칙 및 자원별 관리 기준 → H.I 자원 데이터 테이블
 3) 월드 이벤트의 배치, 구성 및 수치 밸런스 → H.I 레벨 디자인 기획서
 4) 유닛 개별 스테이터스 및 전투 계산 규칙 → H.I 전투 데이터 테이블</t>
  </si>
  <si>
    <t>4. 문서 대상</t>
  </si>
  <si>
    <t xml:space="preserve"> 1) 탐사/협회 시스템 기획자
 2) 탐사 시스템 프로그래머
 3) 밸런스 담당 기획자</t>
  </si>
  <si>
    <t>이벤트 필드 정의</t>
  </si>
  <si>
    <t>공통 - 이벤트 기본 필드</t>
  </si>
  <si>
    <t>개발명</t>
  </si>
  <si>
    <t>필드명</t>
  </si>
  <si>
    <t>데이터 타입</t>
  </si>
  <si>
    <t>필수 여부</t>
  </si>
  <si>
    <t>기본값</t>
  </si>
  <si>
    <t>값·코드 범위</t>
  </si>
  <si>
    <t>참조·제약</t>
  </si>
  <si>
    <t>설명</t>
  </si>
  <si>
    <t>월드 이벤트 id</t>
  </si>
  <si>
    <t>world_event_id</t>
  </si>
  <si>
    <t>string</t>
  </si>
  <si>
    <t>필수</t>
  </si>
  <si>
    <t>-</t>
  </si>
  <si>
    <t>시트 내 기본키</t>
  </si>
  <si>
    <t>구역명</t>
  </si>
  <si>
    <t>zone_no</t>
  </si>
  <si>
    <t>int</t>
  </si>
  <si>
    <t>1 이상</t>
  </si>
  <si>
    <t>H.I 레벨 디자인 기획서</t>
  </si>
  <si>
    <t>이벤트가 배치되는 구역 번호</t>
  </si>
  <si>
    <t>월드 이벤트명</t>
  </si>
  <si>
    <t>world_event_name</t>
  </si>
  <si>
    <t>조건부</t>
  </si>
  <si>
    <t>null</t>
  </si>
  <si>
    <t>해당 필드가 있는 이벤트 시트</t>
  </si>
  <si>
    <t>기획 및 관리용 이벤트 이름. 선택형 NPC형 및 조건형 이벤트 시트에서 입력</t>
  </si>
  <si>
    <t>NPC</t>
  </si>
  <si>
    <t>npc_type</t>
  </si>
  <si>
    <t>NPC 코드</t>
  </si>
  <si>
    <t>월드 UI에 표시할 NPC 종류</t>
  </si>
  <si>
    <t>월드 이벤트 표시 대사</t>
  </si>
  <si>
    <t>world_event_description</t>
  </si>
  <si>
    <t>이벤트 발동 후 월드 UI에 표시하는 대사 또는 설명</t>
  </si>
  <si>
    <t>note</t>
  </si>
  <si>
    <t>선택</t>
  </si>
  <si>
    <t>추가 기획 메모</t>
  </si>
  <si>
    <t>특정 조건형 이벤트 - 발동 조건 필드</t>
  </si>
  <si>
    <t>발동 조건 종류</t>
  </si>
  <si>
    <t>trigger_condition_type</t>
  </si>
  <si>
    <t>0 재화 / 1 영웅 / 2 턴수</t>
  </si>
  <si>
    <t>조건형 이벤트 시트</t>
  </si>
  <si>
    <t>이벤트 발동 조건의 분류</t>
  </si>
  <si>
    <t>발동 조건 대상</t>
  </si>
  <si>
    <t>trigger_condition_target</t>
  </si>
  <si>
    <t>재화 0~3 / 영웅 0~4 / 턴수 0</t>
  </si>
  <si>
    <t>trigger_condition_type에 따라 해석</t>
  </si>
  <si>
    <t>비교할 재화·영웅 또는 턴수 대상</t>
  </si>
  <si>
    <t>영웅 조건 스테이터스</t>
  </si>
  <si>
    <t>trigger_condition_stat_type</t>
  </si>
  <si>
    <t>0 CurrentIP / 1 CurrentHP / 2 MaxIP / 3 MaxHP / 4 ATK</t>
  </si>
  <si>
    <t>trigger_condition_type=1일 때 사용</t>
  </si>
  <si>
    <t>영웅 조건에서 비교할 스테이터스</t>
  </si>
  <si>
    <t>영웅 스테이터스 계산 방식</t>
  </si>
  <si>
    <t>trigger_condition_calculation_type</t>
  </si>
  <si>
    <t>0 평균 / 1 총합</t>
  </si>
  <si>
    <t>trigger_condition_target=4일 때 사용</t>
  </si>
  <si>
    <t>파티 전원 값을 계산하는 방식</t>
  </si>
  <si>
    <t>비교 방식</t>
  </si>
  <si>
    <t>trigger_condition_operator</t>
  </si>
  <si>
    <t>0 이상 &gt;= / 1 이하 &lt;= / 2 같음 =</t>
  </si>
  <si>
    <t>비교 코드</t>
  </si>
  <si>
    <t>현재값과 발동 조건값을 비교하는 방식</t>
  </si>
  <si>
    <t>발동 조건값</t>
  </si>
  <si>
    <t>trigger_condition_value</t>
  </si>
  <si>
    <t>정수</t>
  </si>
  <si>
    <t>조건 종류·대상과 함께 입력</t>
  </si>
  <si>
    <t>이벤트 발동 여부를 판정하는 기준 수치</t>
  </si>
  <si>
    <t>월드 이벤트 - 소비형(진행)</t>
  </si>
  <si>
    <t>이벤트 수락 대사</t>
  </si>
  <si>
    <t>world_event_accept</t>
  </si>
  <si>
    <t>소비형 시트</t>
  </si>
  <si>
    <t>이벤트 수락 시 NPC가 표시하는 대사</t>
  </si>
  <si>
    <t>이벤트 취소 대사</t>
  </si>
  <si>
    <t>world_event_cancel</t>
  </si>
  <si>
    <t>이벤트 취소 시 NPC가 표시하는 대사</t>
  </si>
  <si>
    <t>이벤트 진행</t>
  </si>
  <si>
    <t>world_event_proceed</t>
  </si>
  <si>
    <t>진행 선택 버튼에 표시할 문구</t>
  </si>
  <si>
    <t>이벤트 미진행</t>
  </si>
  <si>
    <t>world_event_decline</t>
  </si>
  <si>
    <t>미진행 선택 버튼에 표시할 문구</t>
  </si>
  <si>
    <t>결과 id</t>
  </si>
  <si>
    <t>result_id</t>
  </si>
  <si>
    <t>소비형 (결과).result_id</t>
  </si>
  <si>
    <t>수락 완료 시 적용할 소비형 결과 식별자</t>
  </si>
  <si>
    <t>월드 이벤트 - 소비형(결과)</t>
  </si>
  <si>
    <t>소비형 NPC형 또는 조건형 world_event_id</t>
  </si>
  <si>
    <t>결과가 소속된 소비형 이벤트를 직접 입력</t>
  </si>
  <si>
    <t>해당 시트의 기본키</t>
  </si>
  <si>
    <t>소비형 결과를 구분하는 고유 식별자</t>
  </si>
  <si>
    <t>소모 자원 1 종류</t>
  </si>
  <si>
    <t>cost_resource_type_1</t>
  </si>
  <si>
    <t>0 자금 / 1 메달 / 2 수정 / 3 자재</t>
  </si>
  <si>
    <t>H.I 자원 데이터 테이블</t>
  </si>
  <si>
    <t>첫 번째로 소비할 공용 재화 종류</t>
  </si>
  <si>
    <t>소모 자원 1 자원량</t>
  </si>
  <si>
    <t>cost_resource_amount_1</t>
  </si>
  <si>
    <t>0 이상</t>
  </si>
  <si>
    <t>첫 번째 재화의 소비 수량</t>
  </si>
  <si>
    <t>소모 자원 2 종류</t>
  </si>
  <si>
    <t>cost_resource_type_2</t>
  </si>
  <si>
    <t>두 번째로 소비할 공용 재화 종류</t>
  </si>
  <si>
    <t>소모 자원 2 자원량</t>
  </si>
  <si>
    <t>cost_resource_amount_2</t>
  </si>
  <si>
    <t>cost_resource_type_2와 함께 입력</t>
  </si>
  <si>
    <t>두 번째 재화의 소비 수량</t>
  </si>
  <si>
    <t>적용 스테이터스 1 종류</t>
  </si>
  <si>
    <t>status_type_1</t>
  </si>
  <si>
    <t>스테이터스 코드</t>
  </si>
  <si>
    <t>이벤트 완료 시 적용할 첫 번째 스테이터스</t>
  </si>
  <si>
    <t>적용 스테이터스 1 적용 수치</t>
  </si>
  <si>
    <t>status_amount_per_event_1</t>
  </si>
  <si>
    <t>증가 + / 감소 -</t>
  </si>
  <si>
    <t>첫 번째 스테이터스의 적용 수치</t>
  </si>
  <si>
    <t>적용 스테이터스 2 종류</t>
  </si>
  <si>
    <t>status_type_2</t>
  </si>
  <si>
    <t>두 번째로 적용할 스테이터스</t>
  </si>
  <si>
    <t>적용 스테이터스 2 적용 수치</t>
  </si>
  <si>
    <t>status_amount_per_event_2</t>
  </si>
  <si>
    <t>status_type_2와 함께 입력</t>
  </si>
  <si>
    <t>두 번째 스테이터스의 적용 수치</t>
  </si>
  <si>
    <t>월드 이벤트 - 보상형</t>
  </si>
  <si>
    <t>보상형 시트</t>
  </si>
  <si>
    <t>보상 확인 버튼에 표시할 문구</t>
  </si>
  <si>
    <t>제공 재화/스테이터스 1 종류</t>
  </si>
  <si>
    <t>reward_type_1</t>
  </si>
  <si>
    <t>자원·스테이터스 코드</t>
  </si>
  <si>
    <t>첫 번째 지급 대상 종류. CurrentIP는 파티 전원에게 적용하고, 재화는 공용 재화에 지급</t>
  </si>
  <si>
    <t>제공 재화/스테이터스 1 제공량</t>
  </si>
  <si>
    <t>reward_amount_1</t>
  </si>
  <si>
    <t>첫 번째 지급 대상의 적용 수치</t>
  </si>
  <si>
    <t>제공 재화/스테이터스 2 종류</t>
  </si>
  <si>
    <t>reward_type_2</t>
  </si>
  <si>
    <t>두 번째 지급 대상 종류. CurrentIP는 파티 전원에게 적용하고, 재화는 공용 재화에 지급</t>
  </si>
  <si>
    <t>제공 재화/스테이터스 2 제공량</t>
  </si>
  <si>
    <t>reward_amount_2</t>
  </si>
  <si>
    <t>reward_type_2와 함께 입력</t>
  </si>
  <si>
    <t>두 번째 지급 대상의 적용 수치</t>
  </si>
  <si>
    <t>월드 이벤트 - 선택형(이벤트 연결)</t>
  </si>
  <si>
    <t>선택지 1 id</t>
  </si>
  <si>
    <t>choice_1_id</t>
  </si>
  <si>
    <t>[이벤트 id]_C1</t>
  </si>
  <si>
    <t>선택형 (선택지).choice_id</t>
  </si>
  <si>
    <t>첫 번째로 표시할 선택지</t>
  </si>
  <si>
    <t>선택지 2 id</t>
  </si>
  <si>
    <t>choice_2_id</t>
  </si>
  <si>
    <t>[이벤트 id]_C2</t>
  </si>
  <si>
    <t>두 번째로 표시할 선택지</t>
  </si>
  <si>
    <t>월드 이벤트 - 선택형(선택지)</t>
  </si>
  <si>
    <t>선택지 id</t>
  </si>
  <si>
    <t>choice_id</t>
  </si>
  <si>
    <t>[이벤트 id]_C1 또는 C2</t>
  </si>
  <si>
    <t>선택지를 구분하는 고유 식별자</t>
  </si>
  <si>
    <t>선택형 이벤트 world_event_id</t>
  </si>
  <si>
    <t>선택지가 소속된 선택형 이벤트</t>
  </si>
  <si>
    <t>선택지 표시 문구</t>
  </si>
  <si>
    <t>choice_text</t>
  </si>
  <si>
    <t>월드 UI에 표시할 선택지 문구</t>
  </si>
  <si>
    <t>활성 조건 유닛</t>
  </si>
  <si>
    <t>enable_condition_unit</t>
  </si>
  <si>
    <t>0</t>
  </si>
  <si>
    <t>0 없음 / 1 저스티스 / 2 네코밍 / 3 블랙불릿 / 4 루미나 / 5 전체</t>
  </si>
  <si>
    <t>유닛 코드</t>
  </si>
  <si>
    <t>선택지 활성 조건을 판정할 유닛 또는 파티 범위</t>
  </si>
  <si>
    <t>활성 조건 종류</t>
  </si>
  <si>
    <t>enable_condition_type</t>
  </si>
  <si>
    <t>0 없음 / 1 재화 / 2 스테이터스</t>
  </si>
  <si>
    <t>선택지 전용 조건 코드</t>
  </si>
  <si>
    <t>선택지 활성 여부를 판정할 값의 분류</t>
  </si>
  <si>
    <t>활성 조건 대상</t>
  </si>
  <si>
    <t>enable_condition_target</t>
  </si>
  <si>
    <t>재화 0 Money / 1 Medal / 2 Jam / 3 Supply; 스테이터스 0 CurrentIP / 1 CurrentHP / 2 MaxIP / 3 MaxHP / 4 ATK</t>
  </si>
  <si>
    <t>enable_condition_type에 따라 해석</t>
  </si>
  <si>
    <t>비교할 재화 또는 스테이터스</t>
  </si>
  <si>
    <t>계산 방식</t>
  </si>
  <si>
    <t>enable_condition_calculation_type</t>
  </si>
  <si>
    <t>enable_condition_unit=5일 때 사용</t>
  </si>
  <si>
    <t>enable_condition_operator</t>
  </si>
  <si>
    <t>현재값과 활성 조건값을 비교하는 방식</t>
  </si>
  <si>
    <t>활성 조건값</t>
  </si>
  <si>
    <t>enable_condition_value</t>
  </si>
  <si>
    <t>선택지 활성 여부를 판정하는 기준 수치</t>
  </si>
  <si>
    <t>확률 보정 유무</t>
  </si>
  <si>
    <t>use_ip_success_rate_bonus</t>
  </si>
  <si>
    <t>0 없음 / 1 있음</t>
  </si>
  <si>
    <t>최종 확률=min(100, 기본 확률+CurrentIP×0.5)</t>
  </si>
  <si>
    <t>현재 I.P 기반 성공 확률 보정 적용 여부. I.P 산정 기준은 공통 진행 규칙을 따름</t>
  </si>
  <si>
    <t>기본 성공 확률</t>
  </si>
  <si>
    <t>base_success_rate</t>
  </si>
  <si>
    <t>float</t>
  </si>
  <si>
    <t>0~100 %p</t>
  </si>
  <si>
    <t>I.P 보정을 적용하기 전 기본 성공 확률</t>
  </si>
  <si>
    <t>성공 결과 그룹 id</t>
  </si>
  <si>
    <t>선택형 (선택결과).result_group_id</t>
  </si>
  <si>
    <t>성공 시 적용할 결과 그룹</t>
  </si>
  <si>
    <t>실패 결과 그룹 id</t>
  </si>
  <si>
    <t>RESULT_NONE</t>
  </si>
  <si>
    <t>실패 시 적용할 결과 그룹. 효과가 없으면 RESULT_NONE</t>
  </si>
  <si>
    <t>월드 이벤트 - 선택형(선택결과)</t>
  </si>
  <si>
    <t>결과 그룹 id</t>
  </si>
  <si>
    <t>result_group_id</t>
  </si>
  <si>
    <t>성공 또는 실패 결과를 구분하는 고유 식별자</t>
  </si>
  <si>
    <t>월드 이벤트 표시 수락 대사</t>
  </si>
  <si>
    <t>선택형 (선택결과)</t>
  </si>
  <si>
    <t>성공·실패 판정 후 월드 UI에 표시할 결과 대사</t>
  </si>
  <si>
    <t>적용 대상</t>
  </si>
  <si>
    <t>target_scope</t>
  </si>
  <si>
    <t>0 없음 / 1 재화 / 2 파티 전원</t>
  </si>
  <si>
    <t>적용 대상 코드</t>
  </si>
  <si>
    <t>효과가 적용되는 대상 범위</t>
  </si>
  <si>
    <t>효과 종류</t>
  </si>
  <si>
    <t>effect_type</t>
  </si>
  <si>
    <t>대상 없음 0 / 재화 0~3 / 스테이터스 0~4</t>
  </si>
  <si>
    <t>target_scope에 따라 해석</t>
  </si>
  <si>
    <t>적용할 재화 또는 스테이터스 종류</t>
  </si>
  <si>
    <t>적용 수치</t>
  </si>
  <si>
    <t>effect_amount</t>
  </si>
  <si>
    <t>획득·증가 + / 차감·패널티 -</t>
  </si>
  <si>
    <t>효과의 증감 수치</t>
  </si>
  <si>
    <t>결과 설명 또는 추가 기획 메모</t>
  </si>
  <si>
    <t xml:space="preserve">이벤트 진행 </t>
  </si>
  <si>
    <t>월드 이벤트 표시 취소 대사</t>
  </si>
  <si>
    <t>결과 ID</t>
  </si>
  <si>
    <t>C_NPC_01_001</t>
  </si>
  <si>
    <t>우리 나비가 나무에서 내려오지 못하고 있어… 도와주게나…</t>
  </si>
  <si>
    <t>물론이죠~!</t>
  </si>
  <si>
    <t>지금은 바빠서;;;</t>
  </si>
  <si>
    <t>고마워~ 나는 우리 나비 없으면 못살아</t>
  </si>
  <si>
    <t>어딜 그리 급히 가나… 나보다 먼저 가겠네</t>
  </si>
  <si>
    <t>C_NPC_01_002</t>
  </si>
  <si>
    <t>이 짐을 집 앞까지만 옮겨 줄 수 있겠니?</t>
  </si>
  <si>
    <t>어디까지 가면 되나요?</t>
  </si>
  <si>
    <t>아니요 괜찮아요</t>
  </si>
  <si>
    <t>역시 히어로 믿음직하네</t>
  </si>
  <si>
    <t>시민도 안도와주는 히어로가 어딨나</t>
  </si>
  <si>
    <t>C_NPC_01_003</t>
  </si>
  <si>
    <t>히어로는 일반인보다 강하다는데
여기 와서 테스트 해보겠나</t>
  </si>
  <si>
    <t>까짓거 함 해보죠!</t>
  </si>
  <si>
    <t>어제 무리해서 오늘은 좀…</t>
  </si>
  <si>
    <t>하하하! 역시는 히어로는 강하군</t>
  </si>
  <si>
    <t>겁쟁이 녀석들 그래서 빌런하고는 싸우겠나</t>
  </si>
  <si>
    <t>C_NPC_01_004</t>
  </si>
  <si>
    <t>빌런들 제어하고 싶제</t>
  </si>
  <si>
    <t>그거… 어떻게 하는건데</t>
  </si>
  <si>
    <t>그런걸 할수있을리가</t>
  </si>
  <si>
    <t>안 알려주거지롱</t>
  </si>
  <si>
    <t>히어로가 제어할수있을리가</t>
  </si>
  <si>
    <t>C_NPC_04_001</t>
  </si>
  <si>
    <t>히어로 이것을… 굉장한 물건이 있습니다.</t>
  </si>
  <si>
    <t>그래봤자 히어로 잼에 10~11배!</t>
  </si>
  <si>
    <t>평범하군</t>
  </si>
  <si>
    <t>아아아아앗! 히어로! 너무 강하다아아아아앗!</t>
  </si>
  <si>
    <t>이럴 수가!</t>
  </si>
  <si>
    <t>C_NPC_04_002</t>
  </si>
  <si>
    <t>히어로 이거 먹으면서 힘내요</t>
  </si>
  <si>
    <t>좋은 단 맛이 납니다. 이거</t>
  </si>
  <si>
    <t>야채의 단맛일세</t>
  </si>
  <si>
    <t>하나만 먹고 가</t>
  </si>
  <si>
    <t>C_NPC_04_003</t>
  </si>
  <si>
    <t>너무 힘들어요 도와주세요</t>
  </si>
  <si>
    <t>뭘 도와드리면 되나요</t>
  </si>
  <si>
    <t>잠시만 기다려주세요</t>
  </si>
  <si>
    <t>아 해결됐어요 고마워요</t>
  </si>
  <si>
    <t>아니 빨리 도와주세요</t>
  </si>
  <si>
    <t>C_NPC_04_004</t>
  </si>
  <si>
    <t>유튜브 찍고 있는데 홍보해드릴께요</t>
  </si>
  <si>
    <t>안녕하세여! 저희는 ~~</t>
  </si>
  <si>
    <t>우리는 개인 방송을 할 수가 없어</t>
  </si>
  <si>
    <t>홍보해드렸으니 돈 받을께요</t>
  </si>
  <si>
    <t>괜찮아요 조금만 나오면</t>
  </si>
  <si>
    <t>C_NPC_04_005</t>
  </si>
  <si>
    <t>1100원만 빌려주세요</t>
  </si>
  <si>
    <t>1100원이면 되나요?</t>
  </si>
  <si>
    <t>1100원이요? 지금 돈이 없어서..</t>
  </si>
  <si>
    <t>네 그 정도면 충분해요. 감사합니다</t>
  </si>
  <si>
    <t>히어로가 돈도 없고..</t>
  </si>
  <si>
    <t>발동 조건 종류
(0 재화 / 1 영웅 / 2 턴수)</t>
  </si>
  <si>
    <t>발동 조건 대상
(발동 조건 종류에 따라 적용)
0 재화: 0 Money / 1 Medal / 2 Jam / 3 Supply
1 영웅: 0 저스티스 / 1 네코밍 / 2 블랙불릿 / 3 루미나 / 4 전체
2 턴수: 0</t>
  </si>
  <si>
    <t>영웅 조건 스테이터스
(발동 조건 대상이 영웅일 경우)
0 CurrentIP / 1 CurrentHP / 2 MaxIP / 3 MaxHP / 4 ATK</t>
  </si>
  <si>
    <t>영웅 스테이터스 계산 방식
(전체일 경우)
0 평균 / 1 총합</t>
  </si>
  <si>
    <t>비교 방식
(0 이상 &gt;= / 1 이하 &lt;= / 2 같음 =)</t>
  </si>
  <si>
    <t>NPC 프로필
(0 성인 남성 / 1 성인 여성 / 2 할머니 / 3 소년 
/ 4 협회)</t>
  </si>
  <si>
    <t>C_IF_001</t>
  </si>
  <si>
    <t>보석이 반짝!</t>
  </si>
  <si>
    <t>우리 보석이 왜이리 많아졌지 좀 써도 되겠는데?</t>
  </si>
  <si>
    <t>난 보석이 좋아!</t>
  </si>
  <si>
    <t>그래 야껴써야지</t>
  </si>
  <si>
    <t>빨리쓰자!</t>
  </si>
  <si>
    <t>아니! 그래도 아껴야지</t>
  </si>
  <si>
    <t>소모 자원 1 종류
(0 자금 / 1 메달 / 
2 수정 / 3 자재)</t>
  </si>
  <si>
    <t>소모 자원 2 종류
(0 자금 / 1 메달 / 
2 수정 / 3 자재)</t>
  </si>
  <si>
    <t>증가 스테이터스 1 종류
(0 CurrentIP / 1 CurrentHP / 2 MaxIP / 3 MaxHP / 4 ATK)</t>
  </si>
  <si>
    <t>증가 스테이터스 1 증가량</t>
  </si>
  <si>
    <t>증가 스테이터스 2 종류
(0 CurrentIP / 1 CurrentHP / 2 MaxIP / 3 MaxHP / 4 ATK)</t>
  </si>
  <si>
    <t>증가 스테이터스 2 증가량</t>
  </si>
  <si>
    <t>자본적으로 여유가 있다고 생각하는 유저를 위한 이벤트</t>
  </si>
  <si>
    <t>제공 재화/스테이터스 1
제공량</t>
  </si>
  <si>
    <t>제공 재화/스테이터스 2
제공량</t>
  </si>
  <si>
    <t>R_NPC_01_001</t>
  </si>
  <si>
    <t>아이구~ 내 새끼. 요즘 밥은 먹고 다니는거야? 이걸로 친구들이랑 맛있는 거 사먹어</t>
  </si>
  <si>
    <t>감사합니다~ ^^</t>
  </si>
  <si>
    <t>아유~ 귀여운 내 새끼</t>
  </si>
  <si>
    <t>R_NPC_01_002</t>
  </si>
  <si>
    <t>히어로가 진다는 건…. 나로선 상상조차 할 수 없어</t>
  </si>
  <si>
    <t>당연하지 우리는 최강인데</t>
  </si>
  <si>
    <t>역시 히어로</t>
  </si>
  <si>
    <t>R_NPC_01_003</t>
  </si>
  <si>
    <t>개성이 없는 시민이라도 히어로가 될 수 있을까요?</t>
  </si>
  <si>
    <t>넌 히어로가 될수있다!</t>
  </si>
  <si>
    <t>열심히 노력할께요</t>
  </si>
  <si>
    <t>R_NPC_04_001</t>
  </si>
  <si>
    <t>오래 동안 지켜봤어요. 힘든 상황에서도 물러서지 않는 모습</t>
  </si>
  <si>
    <t>기대에 부흥하겠습니다</t>
  </si>
  <si>
    <t>계속해서 지켜보겠습니다.</t>
  </si>
  <si>
    <t>R_NPC_04_002</t>
  </si>
  <si>
    <t>싸우는 거 봤어요! 빌런 녀석들을 시원하게 날리는 거요!</t>
  </si>
  <si>
    <t>하하하하. 감사합니다.</t>
  </si>
  <si>
    <t>작지만 감사한 마음에 드리는 거에요</t>
  </si>
  <si>
    <t>R_NPC_04_003</t>
  </si>
  <si>
    <t>빌런은 왜 계속 히어로랑 싸우는 걸까여</t>
  </si>
  <si>
    <t>세상 이치가 그래</t>
  </si>
  <si>
    <t>그런 녀석들은 아마 최약체 녀석들이겠지</t>
  </si>
  <si>
    <t>R_NPC_04_004</t>
  </si>
  <si>
    <t>길에서 예쁜 돌을 주웠는데 자꾸 빛이 나서 자네들이 좀 가지고 가</t>
  </si>
  <si>
    <t>저희가 처리해 드릴께요</t>
  </si>
  <si>
    <t>그래그래. 문제가 생겨도 다시 주지말고</t>
  </si>
  <si>
    <t>R_NPC_04_005</t>
  </si>
  <si>
    <t>제 기준에서 여러분들은 합격점이네요. 다소 아쉬운 점이 많지만 신인이라는 점을 감안하면…</t>
  </si>
  <si>
    <t>뭐에 대한 합격이죠?</t>
  </si>
  <si>
    <t>별 건 아니에요. 저만의 평가가 있으니깐요.</t>
  </si>
  <si>
    <t>R_IF_001</t>
  </si>
  <si>
    <t>각광받는 히어로</t>
  </si>
  <si>
    <t>요즘 너희들의 활약이 대단하다고 SNS에서 유명해지고 있어</t>
  </si>
  <si>
    <t>안돼!! 기사같은거 찾아보지말고 댓글도 보지마 알았지?</t>
  </si>
  <si>
    <t>정말? 기사 찾아봐도 되나?</t>
  </si>
  <si>
    <t>S_NPC_01_001</t>
  </si>
  <si>
    <t>나와 가위바위보를 해서 이기면 돈을 주겠다!</t>
  </si>
  <si>
    <t>도망치는 거냐! 히어로!</t>
  </si>
  <si>
    <t>S_NPC_01_001_C1</t>
  </si>
  <si>
    <t>S_NPC_01_001_C2</t>
  </si>
  <si>
    <t>난 가위바위보따위 
하지 않아</t>
  </si>
  <si>
    <t>S_NPC_01_002</t>
  </si>
  <si>
    <t>S_NPC_01_002_C1</t>
  </si>
  <si>
    <t>S_NPC_01_002_C2</t>
  </si>
  <si>
    <t>S_NPC_01_003</t>
  </si>
  <si>
    <t>S_NPC_01_003_C1</t>
  </si>
  <si>
    <t>S_NPC_01_003_C2</t>
  </si>
  <si>
    <t>S_NPC_01_004</t>
  </si>
  <si>
    <t>S_NPC_01_004_C1</t>
  </si>
  <si>
    <t>S_NPC_01_004_C2</t>
  </si>
  <si>
    <t>S_NPC_01_005</t>
  </si>
  <si>
    <t>S_NPC_01_005_C1</t>
  </si>
  <si>
    <t>S_NPC_01_005_C2</t>
  </si>
  <si>
    <t>S_NPC_04_001</t>
  </si>
  <si>
    <t>S_NPC_04_001_C1</t>
  </si>
  <si>
    <t>S_NPC_04_001_C2</t>
  </si>
  <si>
    <t>S_NPC_04_002</t>
  </si>
  <si>
    <t>S_NPC_04_002_C1</t>
  </si>
  <si>
    <t>S_NPC_04_002_C2</t>
  </si>
  <si>
    <t>S_NPC_04_003</t>
  </si>
  <si>
    <t>S_NPC_04_003_C1</t>
  </si>
  <si>
    <t>S_NPC_04_003_C2</t>
  </si>
  <si>
    <t>S_NPC_04_004</t>
  </si>
  <si>
    <t>S_NPC_04_004_C1</t>
  </si>
  <si>
    <t>S_NPC_04_004_C2</t>
  </si>
  <si>
    <t>S_NPC_04_005</t>
  </si>
  <si>
    <t>S_NPC_04_005_C1</t>
  </si>
  <si>
    <t>S_NPC_04_005_C2</t>
  </si>
  <si>
    <t>S_IF_001</t>
  </si>
  <si>
    <t>S_IF_001_C1</t>
  </si>
  <si>
    <t>S_IF_001_C2</t>
  </si>
  <si>
    <t>월드 이벤트 id
(선택형 테이블 참조)</t>
  </si>
  <si>
    <t xml:space="preserve">활성 조건 유닛 
(0 없음 / 1 저스티스 / 
2 네코밍 / 3 블랙불릿 
/  4 루미나 / 5 전체) </t>
  </si>
  <si>
    <t>활성 조건 종류
(0 없음 / 1 재화 / 2 스테이터스)</t>
  </si>
  <si>
    <t>활성 조건 대상
(조건 종류에 따라 적용)
0 없음
1 재화: 0 Money / 1 Medal / 2 Jam / 3 Supply
2 스테이터스: 0 CurrentIP / 1 CurrentHP / 2 MaxIP / 3 MaxHP / 4 ATK</t>
  </si>
  <si>
    <t>계산 방식
(전체 일 경우)
(0 평균 / 1 총합)</t>
  </si>
  <si>
    <t>확률 보정 유무
(0 없음 / 1 있음)
최종 = min(100, 기본 + CurrentIP × 0.5)</t>
  </si>
  <si>
    <t>기본 성공 확률(%p)</t>
  </si>
  <si>
    <t>성공 선택지 결과 id
(선택결과 테이블 참조)</t>
  </si>
  <si>
    <t>실패 선택지 결과 id
(효과 없음: RESULT_NONE)</t>
  </si>
  <si>
    <t>success_choice_result_id</t>
  </si>
  <si>
    <t>failure_choice_result_id</t>
  </si>
  <si>
    <t>정정당당한 승부다!</t>
  </si>
  <si>
    <t>S_NPC_01_001_C1_S</t>
  </si>
  <si>
    <t>S_NPC_01_001_C1_F</t>
  </si>
  <si>
    <t>내 가위는 주먹도 이긴다!</t>
  </si>
  <si>
    <t>S_NPC_01_001_C2_S</t>
  </si>
  <si>
    <t>S_NPC_01_001_C2_F</t>
  </si>
  <si>
    <t>S_NPC_01_002_C1_S</t>
  </si>
  <si>
    <t>S_NPC_01_002_C1_F</t>
  </si>
  <si>
    <t>S_NPC_01_002_C2_S</t>
  </si>
  <si>
    <t>S_NPC_01_002_C2_F</t>
  </si>
  <si>
    <t>S_NPC_01_003_C1_S</t>
  </si>
  <si>
    <t>S_NPC_01_003_C1_F</t>
  </si>
  <si>
    <t>S_NPC_01_003_C2_S</t>
  </si>
  <si>
    <t>S_NPC_01_003_C2_F</t>
  </si>
  <si>
    <t>S_NPC_01_004_C1_S</t>
  </si>
  <si>
    <t>S_NPC_01_004_C1_F</t>
  </si>
  <si>
    <t>S_NPC_01_004_C2_S</t>
  </si>
  <si>
    <t>S_NPC_01_004_C2_F</t>
  </si>
  <si>
    <t>S_NPC_01_005_C1_S</t>
  </si>
  <si>
    <t>S_NPC_01_005_C1_F</t>
  </si>
  <si>
    <t>S_NPC_01_005_C2_S</t>
  </si>
  <si>
    <t>S_NPC_01_005_C2_F</t>
  </si>
  <si>
    <t>S_NPC_04_001_C1_S</t>
  </si>
  <si>
    <t>S_NPC_04_001_C1_F</t>
  </si>
  <si>
    <t>S_NPC_04_001_C2_S</t>
  </si>
  <si>
    <t>S_NPC_04_001_C2_F</t>
  </si>
  <si>
    <t>S_NPC_04_002_C1_S</t>
  </si>
  <si>
    <t>S_NPC_04_002_C1_F</t>
  </si>
  <si>
    <t>S_NPC_04_002_C2_S</t>
  </si>
  <si>
    <t>S_NPC_04_002_C2_F</t>
  </si>
  <si>
    <t>S_NPC_04_003_C1_S</t>
  </si>
  <si>
    <t>S_NPC_04_003_C1_F</t>
  </si>
  <si>
    <t>S_NPC_04_003_C2_S</t>
  </si>
  <si>
    <t>S_NPC_04_003_C2_F</t>
  </si>
  <si>
    <t>S_NPC_04_004_C1_S</t>
  </si>
  <si>
    <t>S_NPC_04_004_C1_F</t>
  </si>
  <si>
    <t>S_NPC_04_004_C2_S</t>
  </si>
  <si>
    <t>S_NPC_04_004_C2_F</t>
  </si>
  <si>
    <t>S_NPC_04_005_C1_S</t>
  </si>
  <si>
    <t>S_NPC_04_005_C1_F</t>
  </si>
  <si>
    <t>S_NPC_04_005_C2_S</t>
  </si>
  <si>
    <t>S_NPC_04_005_C2_F</t>
  </si>
  <si>
    <t>S_IF_001_C1_S</t>
  </si>
  <si>
    <t>S_IF_001_C1_F</t>
  </si>
  <si>
    <t>S_IF_001_C2_S</t>
  </si>
  <si>
    <t>S_IF_001_C2_F</t>
  </si>
  <si>
    <t>결과 그룹 id
(선택지 테이블 참조)</t>
  </si>
  <si>
    <t>적용 대상
(0 없음 / 1 재화 / 
2 파티 전원)</t>
  </si>
  <si>
    <t>효과 종류
(적용 대상에 따라 적용)
0 없음: 0 None
1 공용 재화: 0 Money / 1 Medal 
/ 2 Jam / 3 Supply
2 파티 전원: 0 CurrentIP / 1 CurrentHP / 
2 MaxIP / 3 MaxHP / 4 ATK</t>
  </si>
  <si>
    <t>적용 수치
(획득·증가 + /
 차감·패널티 -)</t>
  </si>
  <si>
    <t>크윽! 졌다.</t>
  </si>
  <si>
    <t>말도안돼!!</t>
  </si>
  <si>
    <t>더 강해져서 돌아와라</t>
  </si>
  <si>
    <t>가위를 이기는 주먹같은게 있을리가!</t>
  </si>
  <si>
    <t>조건형 1 선택지 1성공</t>
  </si>
  <si>
    <t>조건형 1 선택지 2성공</t>
  </si>
  <si>
    <t>조건형 1 선택지 1실패</t>
  </si>
  <si>
    <t>조건형 1 선택지 2실패</t>
  </si>
  <si>
    <t>NPC
(0 성인 남성 1 성인 여성
3 할머니 4 소년)</t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</si>
  <si>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</si>
  <si>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</si>
  <si>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</si>
  <si>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소모 자원 1 종류
(0 자금 1 메달 2 수정 3 자재)</t>
  </si>
  <si>
    <t>소모 자원 2 종류
(0 자금 1 메달 2 수정 3 자재)</t>
  </si>
  <si>
    <t>증가 스테이터스 1 종류
(0 CurrentIP 1 CurrentHP 
2 MaxIP 3 MaxHP 
4 ATK 5 DEF)</t>
  </si>
  <si>
    <t>증가 스테이터스 2 종류
(0 CurrentIP 1 CurrentHP 
2 MaxIP 3 MaxHP 
4 ATK 5 DEF)</t>
  </si>
  <si>
    <t>Zone_No.</t>
  </si>
  <si>
    <t>world_event_target</t>
  </si>
  <si>
    <t>world_event_target_count</t>
  </si>
  <si>
    <t>world_event_target_select</t>
  </si>
  <si>
    <t>cost_resource_type</t>
  </si>
  <si>
    <t>cost_resource_amount</t>
  </si>
  <si>
    <t>status_type</t>
  </si>
  <si>
    <t>status_amount_per_event</t>
  </si>
  <si>
    <t>EVT_001</t>
  </si>
  <si>
    <t>나무 위의 구조 요청</t>
  </si>
  <si>
    <t>우리 고양이가 나무에서 내려오지 못하고 있어요!</t>
  </si>
  <si>
    <t>EVT_002</t>
  </si>
  <si>
    <t>무거운 장바구니</t>
  </si>
  <si>
    <t>EVT_003</t>
  </si>
  <si>
    <t>긴급 자재 배달</t>
  </si>
  <si>
    <t>공사장에 필요한 자재를 대신 전달해 주시겠습니까?</t>
  </si>
  <si>
    <t>EVT_004</t>
  </si>
  <si>
    <t>무너진 담장 수리</t>
  </si>
  <si>
    <t>무너진 담장 때문에 길이 위험해졌어요. 도와주세요.</t>
  </si>
  <si>
    <t>EVT_005</t>
  </si>
  <si>
    <t>소년의 히어로 수업</t>
  </si>
  <si>
    <t>저도 용감한 히어로가 되고 싶어요. 훈련시켜 주세요!</t>
  </si>
  <si>
    <t>EVT_006</t>
  </si>
  <si>
    <t>동네 체육관의 부탁</t>
  </si>
  <si>
    <t>히어로 만큼 강한 내 대련 상대가 되어 주지 않겠나?</t>
  </si>
  <si>
    <t>EVT_007</t>
  </si>
  <si>
    <t>불안정한 히어로 젬</t>
  </si>
  <si>
    <t>이 보석에서 이상한 빛이 나요. 안전하게 처리해 주세요.</t>
  </si>
  <si>
    <t>EVT_008</t>
  </si>
  <si>
    <t>빌런 쫓는 메달</t>
  </si>
  <si>
    <t>요즘 밤마다 수상한 사람들이 골목을 드나들어서 무섭구나.</t>
  </si>
  <si>
    <t>EVT_009</t>
  </si>
  <si>
    <t>고장 난 급수 장치</t>
  </si>
  <si>
    <t>급수 장치가 고장 나 주민들이 물을 쓰지 못하고 있어요.</t>
  </si>
  <si>
    <t>EVT_010</t>
  </si>
  <si>
    <t>할머니의 특제 강화식</t>
  </si>
  <si>
    <t>재료를 구해 오면 기운 나는 음식을 만들어 주마.</t>
  </si>
  <si>
    <t>EVT_011</t>
  </si>
  <si>
    <t>터널 안의 구조 신호</t>
  </si>
  <si>
    <t>광부 한 명이 터널 안에 고립됐습니다. 구조를 도와주십시오!</t>
  </si>
  <si>
    <t>EVT_012</t>
  </si>
  <si>
    <t>불안정한 젬 광맥</t>
  </si>
  <si>
    <t>수정의 상태가 불안정해요. 히어로 젬으로 흐름을 안정시켜 주세요.</t>
  </si>
  <si>
    <t>EVT_013</t>
  </si>
  <si>
    <t>멈춰 버린 컨베이어</t>
  </si>
  <si>
    <t>부품이 망가져 생산이 멈췄습니다. 수리를 부탁드립니다.</t>
  </si>
  <si>
    <t>EVT_014</t>
  </si>
  <si>
    <t>과열된 용광로</t>
  </si>
  <si>
    <t>용광로가 과열됐어요! 냉각 장치를 가동해 주세요!</t>
  </si>
  <si>
    <t>EVT_015</t>
  </si>
  <si>
    <t>부두의 무거운 화물</t>
  </si>
  <si>
    <t>일손이 부족합니다. 이 화물을 선박까지 옮겨 주시겠습니까?</t>
  </si>
  <si>
    <t>EVT_016</t>
  </si>
  <si>
    <t>바다에 빠진 공구함</t>
  </si>
  <si>
    <t>아빠의 공구함이 바다에 빠졌어요. 꼭 찾아주세요!</t>
  </si>
  <si>
    <t>EVT_017</t>
  </si>
  <si>
    <t>공구상의 신제품 시험</t>
  </si>
  <si>
    <t>새 보호 장비를 시험할 히어로가 필요합니다.</t>
  </si>
  <si>
    <t>EVT_018</t>
  </si>
  <si>
    <t>파손된 하역 크레인</t>
  </si>
  <si>
    <t>크레인이 고장 나 화물이 묶였어요. 긴급 수리를 부탁해요.</t>
  </si>
  <si>
    <t>EVT_019</t>
  </si>
  <si>
    <t>밀수품 수색</t>
  </si>
  <si>
    <t>밤마다 수상한 상자가 부두로 들어온다더구나.</t>
  </si>
  <si>
    <t>EVT_020</t>
  </si>
  <si>
    <t>광부들의 특제 도시락</t>
  </si>
  <si>
    <t>고생하는 선원들에게 따뜻한 식사를 전해 주겠니?</t>
  </si>
  <si>
    <t>EVT_021</t>
  </si>
  <si>
    <t>공원의 쓰러진 가로수</t>
  </si>
  <si>
    <t>가로수가 쓰러져 산책로를 막았어요. 치워 주세요.</t>
  </si>
  <si>
    <t>EVT_022</t>
  </si>
  <si>
    <t>사라진 반려견</t>
  </si>
  <si>
    <t>강아지가 공원에서 사라졌어요. 같이 찾아주세요!</t>
  </si>
  <si>
    <t>EVT_023</t>
  </si>
  <si>
    <t>고장 난 놀이터</t>
  </si>
  <si>
    <t>아이들이 다치기 전에 놀이기구를 고쳐 줄 수 있겠니?</t>
  </si>
  <si>
    <t>EVT_024</t>
  </si>
  <si>
    <t>상점가의 홍보 행사</t>
  </si>
  <si>
    <t>상점가를 알릴 행사를 준비 중입니다. 잠시 도와주시죠.</t>
  </si>
  <si>
    <t>EVT_025</t>
  </si>
  <si>
    <t>도둑맞은 진열품</t>
  </si>
  <si>
    <t>가게의 귀중품을 도둑맞았어요. 범인을 찾아주세요!</t>
  </si>
  <si>
    <t>EVT_026</t>
  </si>
  <si>
    <t>박물관의 깨진 방호벽</t>
  </si>
  <si>
    <t>전시품 방호벽이 파손됐습니다. 임시 보강이 필요합니다.</t>
  </si>
  <si>
    <t>EVT_027</t>
  </si>
  <si>
    <t>오래된 히어로의 기록</t>
  </si>
  <si>
    <t>옛 히어로의 기록을 정리하는 일을 도와주겠니?</t>
  </si>
  <si>
    <t>EVT_028</t>
  </si>
  <si>
    <t>길을 잃은 관광객</t>
  </si>
  <si>
    <t>도서관을 찾지 못하겠어요. 길을 안내해 주시겠어요?</t>
  </si>
  <si>
    <t>EVT_029</t>
  </si>
  <si>
    <t>상점가 배달 대행</t>
  </si>
  <si>
    <t>배달원이 오지 않았습니다. 물건을 대신 전해 주십시오.</t>
  </si>
  <si>
    <t>EVT_030</t>
  </si>
  <si>
    <t>공원 무료 급식</t>
  </si>
  <si>
    <t>도움이 필요한 주민들에게 식사를 나눠 주고 싶구나.</t>
  </si>
  <si>
    <t>EVT_031</t>
  </si>
  <si>
    <t>멈춰 선 지하철</t>
  </si>
  <si>
    <t>열차가 터널 안에 멈췄습니다. 승객 구조를 도와주십시오!</t>
  </si>
  <si>
    <t>EVT_032</t>
  </si>
  <si>
    <t>빌딩 비상 전력</t>
  </si>
  <si>
    <t>비상 전력이 부족해요. 히어로 젬으로 전력을 공급해 주세요.</t>
  </si>
  <si>
    <t>EVT_033</t>
  </si>
  <si>
    <t>사무실 긴급 대피</t>
  </si>
  <si>
    <t>빌런이 접근 중입니다. 직원들의 대피를 도와주십시오!</t>
  </si>
  <si>
    <t>EVT_034</t>
  </si>
  <si>
    <t>파손된 방화문</t>
  </si>
  <si>
    <t>방화문이 고장 나 대피로가 위험해요. 수리를 부탁해요.</t>
  </si>
  <si>
    <t>EVT_035</t>
  </si>
  <si>
    <t>옥상에 고립된 시민</t>
  </si>
  <si>
    <t>건물 옥상에 사람들이 갇혀 있어요. 구해 주세요!</t>
  </si>
  <si>
    <t>EVT_036</t>
  </si>
  <si>
    <t>빌런 감시 장비 설치</t>
  </si>
  <si>
    <t>본부를 감시할 장비가 필요합니다. 설치를 도와주시겠습니까?</t>
  </si>
  <si>
    <t>EVT_037</t>
  </si>
  <si>
    <t>끊어진 통신망</t>
  </si>
  <si>
    <t>빌런의 방해로 통신이 끊겼어요. 중계기를 복구해 주세요.</t>
  </si>
  <si>
    <t>EVT_038</t>
  </si>
  <si>
    <t>시민 자경단 훈련</t>
  </si>
  <si>
    <t>우리도 도시를 지키고 싶구나. 싸우는 법을 알려 다오.</t>
  </si>
  <si>
    <t>EVT_039</t>
  </si>
  <si>
    <t>빌딩 외벽의 폭발물</t>
  </si>
  <si>
    <t>외벽에 폭발물이 설치됐습니다. 신속히 제거해야 합니다!</t>
  </si>
  <si>
    <t>EVT_040</t>
  </si>
  <si>
    <t>결전을 앞둔 시민들의 응원</t>
  </si>
  <si>
    <t>도시는 자네들을 믿고 있네. 반드시 무사히 돌아오게.</t>
  </si>
  <si>
    <t>히어로도 머리가 좋아야 하는 법! 상식 문제 하나 풀어보겠어?</t>
  </si>
  <si>
    <t>수레가 완전히 고장 났어. 혹시 수리를 도와줄 수 있겠나?</t>
  </si>
  <si>
    <t>도와준 답례로 준비했어. 두 봉투 중 마음에 드는 하나를 골라.</t>
  </si>
  <si>
    <t>실력을 점검해주지. 기본 훈련과 최고 난이도 훈련 중 하나를 골라라.</t>
  </si>
  <si>
    <t>안쪽에 거대한 수정 광맥이 있어. 다만 언제 무너질지는 장담 못 해.</t>
  </si>
  <si>
    <t>도적들이 물자를 훔쳐 갔어! 남은 물자를 지키거나 놈들을 추격해줘.</t>
  </si>
  <si>
    <t>거래를 대신 맡아줄 사람이 필요해. 보수 조건은 자네가 고르게.</t>
  </si>
  <si>
    <t>힌트를 하나 쓰겠습니다.</t>
  </si>
  <si>
    <t>힌트 없이 바로 맞히겠습니다.</t>
  </si>
  <si>
    <t>상자를 흔들어보고 고른다.</t>
  </si>
  <si>
    <t>내 감은 확실해. 바로 고른다.</t>
  </si>
  <si>
    <t>수레를 함께 수리한다.</t>
  </si>
  <si>
    <t>새 부품을 사서 완벽하게 고친다.</t>
  </si>
  <si>
    <t>두꺼워 보이는 봉투를 고른다.</t>
  </si>
  <si>
    <t>반짝이는 작은 상자를 고른다.</t>
  </si>
  <si>
    <t>확인된 이동 경로만 추적한다.</t>
  </si>
  <si>
    <t>놈의 은신처로 바로 쳐들어간다.</t>
  </si>
  <si>
    <t>기본 훈련부터 차근차근 받는다.</t>
  </si>
  <si>
    <t>최고 난이도 훈련에 도전한다.</t>
  </si>
  <si>
    <t>입구 주변의 수정만 채굴한다.</t>
  </si>
  <si>
    <t>가장 깊은 곳의 광맥까지 들어간다.</t>
  </si>
  <si>
    <t>남은 보급품을 안전한 곳으로 옮긴다.</t>
  </si>
  <si>
    <t>도적을 추격해 빼앗긴 물자를 되찾는다.</t>
  </si>
  <si>
    <t>정해진 보수만 받고 거래를 돕는다.</t>
  </si>
  <si>
    <t>보수 대신 메달을 걸고 추가 협상한다.</t>
  </si>
  <si>
    <t>힌트를 썼지만 정답은 정답이지!</t>
  </si>
  <si>
    <t>정답! 히어로는 지식도 강하군!</t>
  </si>
  <si>
    <t>힌트까지 줬는데 이걸 틀리네…</t>
  </si>
  <si>
    <t>참가비는 자동 결제되었습니다.</t>
  </si>
  <si>
    <t>소리만 듣고 맞혔다고? 감 좋은데?</t>
  </si>
  <si>
    <t>이걸 한 번에 맞히네. 오늘 폼 미쳤다.</t>
  </si>
  <si>
    <t>빈 상자다. 그래도 잃은 건 없네.</t>
  </si>
  <si>
    <t>틀렸으니 참가 기념 메달 하나만 받을게.</t>
  </si>
  <si>
    <t>덕분에 다시 장사할 수 있겠어!</t>
  </si>
  <si>
    <t>이 정도 솜씨면 수리비를 받아야겠군!</t>
  </si>
  <si>
    <t>수리는 실패했지만 도와준 마음은 고맙네.</t>
  </si>
  <si>
    <t>부품은 샀는데 왜 고장이 더 심해졌지?</t>
  </si>
  <si>
    <t>역시 현금이 가장 확실하지.</t>
  </si>
  <si>
    <t>이걸 고르다니 보는 눈이 있네!</t>
  </si>
  <si>
    <t>두꺼운 이유가 편지지가 많아서였군…</t>
  </si>
  <si>
    <t>반짝이 가루만 잔뜩 들어 있다.</t>
  </si>
  <si>
    <t>안전하게 처리했군. 보상은 약속대로 주지.</t>
  </si>
  <si>
    <t>위험한 선택이었지만 결과는 확실하군.</t>
  </si>
  <si>
    <t>한발 늦었어. 이미 자리를 떴군.</t>
  </si>
  <si>
    <t>가짜 정보였다. 준비 비용만 날렸군.</t>
  </si>
  <si>
    <t>기본기가 탄탄하군. 합격이다.</t>
  </si>
  <si>
    <t>이 훈련을 통과하다니, 인정하지.</t>
  </si>
  <si>
    <t>조금 더 연습하면 충분히 가능하겠어.</t>
  </si>
  <si>
    <t>훈련장 수리비 대신 메달을 조금 받겠네.</t>
  </si>
  <si>
    <t>욕심내지 않은 덕분에 안전하게 챙겼군.</t>
  </si>
  <si>
    <t>이 정도 크기의 수정은 처음 보는군!</t>
  </si>
  <si>
    <t>쓸 만한 수정은 이미 누가 가져갔어.</t>
  </si>
  <si>
    <t>낙석을 피하다 수정 주머니를 떨어뜨렸다.</t>
  </si>
  <si>
    <t>남은 물자라도 지켰으니 다행이야.</t>
  </si>
  <si>
    <t>현상금까지 받아왔군. 역시 히어로야!</t>
  </si>
  <si>
    <t>이미 쓸 만한 물자는 모두 망가졌군.</t>
  </si>
  <si>
    <t>도적은 놓치고 추격 비용만 잔뜩 들었다.</t>
  </si>
  <si>
    <t>깔끔한 거래였어. 약속한 보수야.</t>
  </si>
  <si>
    <t>상대가 완전히 넘어왔어. 협상 성공이야.</t>
  </si>
  <si>
    <t>거래가 취소됐군. 손해는 없으니 됐어.</t>
  </si>
  <si>
    <t>강하게 나갔다가 신뢰만 잃어버렸군.</t>
  </si>
  <si>
    <t>V1.61</t>
    <phoneticPr fontId="4" type="noConversion"/>
  </si>
  <si>
    <t>데이터 테이블 오류 수정</t>
    <phoneticPr fontId="4" type="noConversion"/>
  </si>
  <si>
    <t>V1.62</t>
    <phoneticPr fontId="4" type="noConversion"/>
  </si>
  <si>
    <t>[선택지 id]_S 또는 _F</t>
    <phoneticPr fontId="4" type="noConversion"/>
  </si>
  <si>
    <t>V1.63</t>
    <phoneticPr fontId="4" type="noConversion"/>
  </si>
  <si>
    <t>모르는 건 죄가 아니지</t>
    <phoneticPr fontId="4" type="noConversion"/>
  </si>
  <si>
    <t>두 상자 중 하나에 진짜 보상이 들어 있지. 자, 어느 상자를 고르겠어?</t>
    <phoneticPr fontId="4" type="noConversion"/>
  </si>
  <si>
    <t>언제든 기다려 주지</t>
    <phoneticPr fontId="4" type="noConversion"/>
  </si>
  <si>
    <t>지금 도움이 필요한데</t>
    <phoneticPr fontId="4" type="noConversion"/>
  </si>
  <si>
    <t>하나만 고르라고</t>
    <phoneticPr fontId="4" type="noConversion"/>
  </si>
  <si>
    <t>3개 다 고른다</t>
    <phoneticPr fontId="4" type="noConversion"/>
  </si>
  <si>
    <t>뭐가 뭔지 모르겠다</t>
    <phoneticPr fontId="4" type="noConversion"/>
  </si>
  <si>
    <t>지금은 고르지 않는다</t>
    <phoneticPr fontId="4" type="noConversion"/>
  </si>
  <si>
    <t>아직 때가 아니다</t>
    <phoneticPr fontId="4" type="noConversion"/>
  </si>
  <si>
    <t>지금 중요한 순간에!</t>
    <phoneticPr fontId="4" type="noConversion"/>
  </si>
  <si>
    <t>나중에 간다</t>
    <phoneticPr fontId="4" type="noConversion"/>
  </si>
  <si>
    <t>나약한 녀석들!</t>
    <phoneticPr fontId="4" type="noConversion"/>
  </si>
  <si>
    <t>나중에 한다</t>
    <phoneticPr fontId="4" type="noConversion"/>
  </si>
  <si>
    <t>지금 무너진다고!</t>
    <phoneticPr fontId="4" type="noConversion"/>
  </si>
  <si>
    <t>아직 들어가지 않는다.</t>
    <phoneticPr fontId="4" type="noConversion"/>
  </si>
  <si>
    <t>내 물건은!?</t>
    <phoneticPr fontId="4" type="noConversion"/>
  </si>
  <si>
    <t>지금은 바쁘니 나중에</t>
    <phoneticPr fontId="4" type="noConversion"/>
  </si>
  <si>
    <t>욕심이 너무 많군</t>
    <phoneticPr fontId="4" type="noConversion"/>
  </si>
  <si>
    <t>이걸로는 부족하다</t>
    <phoneticPr fontId="4" type="noConversion"/>
  </si>
  <si>
    <t>도주 중인 빌런들의 위치를 알아냈어. 어느 쪽으로 추적할 생각이지?</t>
    <phoneticPr fontId="4" type="noConversion"/>
  </si>
  <si>
    <t>재화/효과</t>
  </si>
  <si>
    <t>보상형 획득</t>
  </si>
  <si>
    <t>선택형 성공 결과</t>
  </si>
  <si>
    <t>선택형 실패 결과</t>
  </si>
  <si>
    <t>자금</t>
  </si>
  <si>
    <t>메달</t>
  </si>
  <si>
    <t>수정</t>
  </si>
  <si>
    <t>자재</t>
  </si>
  <si>
    <t>IP</t>
  </si>
  <si>
    <t>소비형 증가량</t>
  </si>
  <si>
    <t>소비형 감소량</t>
  </si>
  <si>
    <t>총합</t>
    <phoneticPr fontId="4" type="noConversion"/>
  </si>
  <si>
    <t>V1.7</t>
    <phoneticPr fontId="4" type="noConversion"/>
  </si>
  <si>
    <t>NPC 프로필
(0 성인 남성 / 1 성인 여성 / 2 할머니 / 3 소년 
/ 4 협회)</t>
    <phoneticPr fontId="4" type="noConversion"/>
  </si>
  <si>
    <t>비고</t>
    <phoneticPr fontId="4" type="noConversion"/>
  </si>
  <si>
    <t>증감량 ±30 이내</t>
    <phoneticPr fontId="4" type="noConversion"/>
  </si>
  <si>
    <t>I.P 획득 밸런스 조절, 획득 계산기 시트 추가</t>
    <phoneticPr fontId="4" type="noConversion"/>
  </si>
  <si>
    <t>NPC
(0 성인 남성 / 1 성인 여성 / 2 할머니 / 3 소년
4 방송차량 / 5 구급상자 )
(월드 배치 확인용)</t>
    <phoneticPr fontId="4" type="noConversion"/>
  </si>
  <si>
    <t>V1.8</t>
    <phoneticPr fontId="4" type="noConversion"/>
  </si>
  <si>
    <t>신규 NPC 유형(방송차량, 구급상자) 생성 및 이벤트 내용 추가</t>
    <phoneticPr fontId="4" type="noConversion"/>
  </si>
  <si>
    <t>C_NPC_01_005</t>
    <phoneticPr fontId="4" type="noConversion"/>
  </si>
  <si>
    <t>싸다 싸! 광고 한 번이 타이어 보다 싸다!</t>
    <phoneticPr fontId="4" type="noConversion"/>
  </si>
  <si>
    <t xml:space="preserve">감사합니다! 히어로! </t>
    <phoneticPr fontId="4" type="noConversion"/>
  </si>
  <si>
    <t>진행 시켜!</t>
    <phoneticPr fontId="4" type="noConversion"/>
  </si>
  <si>
    <t>타이어 보다 싼 광고는 좀..</t>
    <phoneticPr fontId="4" type="noConversion"/>
  </si>
  <si>
    <t>지금 바로 진행하면 두 번 더 해드릴께요!</t>
    <phoneticPr fontId="4" type="noConversion"/>
  </si>
  <si>
    <t>R_NPC_01_004</t>
  </si>
  <si>
    <t>(눈 앞에 구급 상자가 있다)</t>
    <phoneticPr fontId="4" type="noConversion"/>
  </si>
  <si>
    <t>사용 해도 되는 건가</t>
    <phoneticPr fontId="4" type="noConversion"/>
  </si>
  <si>
    <t>0 CurrentIP / 1 Money / 2 Jam / 3 Medal / 4 Supply / 5 CurrentHP</t>
    <phoneticPr fontId="4" type="noConversion"/>
  </si>
  <si>
    <t>제공 재화/스테이터스 1 종류
(0 CurrentIP / 1 Money /
2 Jam / 3 Medal 
/ 4 Supply / 5 CurrentHP)</t>
    <phoneticPr fontId="4" type="noConversion"/>
  </si>
  <si>
    <t>제공 재화/스테이터스 2 종류
(0 CurrentIP / 1 Money /
2 Jam / 3 Medal 
/ 4 Supply / 5 CurrentHP)</t>
    <phoneticPr fontId="4" type="noConversion"/>
  </si>
  <si>
    <t>0 성인 남성 / 1 성인 여성 / 2 할머니 / 3 소년 /
4 방송 차량 / 5 구급상자</t>
    <phoneticPr fontId="4" type="noConversion"/>
  </si>
  <si>
    <t>[선택지 id]_S</t>
    <phoneticPr fontId="4" type="noConversion"/>
  </si>
  <si>
    <t>[선택지 id]_F</t>
    <phoneticPr fontId="4" type="noConversion"/>
  </si>
  <si>
    <t>[유형]_[발동]_[구역]_[3자리 번호]</t>
    <phoneticPr fontId="4" type="noConversion"/>
  </si>
  <si>
    <t>이벤트 식별자. 예: C_NPC_01_001 / R_NPC_01_001 / S_NPC_01_001</t>
    <phoneticPr fontId="4" type="noConversion"/>
  </si>
  <si>
    <t>[유형]_[발동]_[구역]_[3자리 번호]_Result</t>
    <phoneticPr fontId="4" type="noConversion"/>
  </si>
  <si>
    <t>0 CurrentIP / 1 Money / 2 Jam / 3 Medal / 4 Supply</t>
    <phoneticPr fontId="4" type="noConversion"/>
  </si>
  <si>
    <t>C_NPC_01_001_Result</t>
    <phoneticPr fontId="4" type="noConversion"/>
  </si>
  <si>
    <t>C_NPC_01_002_Result</t>
    <phoneticPr fontId="4" type="noConversion"/>
  </si>
  <si>
    <t>C_NPC_01_003_Result</t>
  </si>
  <si>
    <t>C_NPC_01_004_Result</t>
  </si>
  <si>
    <t>C_NPC_01_005_Result</t>
  </si>
  <si>
    <t>C_NPC_04_001_Result</t>
    <phoneticPr fontId="4" type="noConversion"/>
  </si>
  <si>
    <t>C_NPC_04_002_Result</t>
  </si>
  <si>
    <t>C_NPC_04_003_Result</t>
  </si>
  <si>
    <t>C_NPC_04_004_Result</t>
  </si>
  <si>
    <t>C_NPC_04_005_Result</t>
  </si>
  <si>
    <t>C_IF_01_001_Result</t>
    <phoneticPr fontId="4" type="noConversion"/>
  </si>
  <si>
    <t>(구급 상사로 히어로의 마음은 충만해졌다)</t>
    <phoneticPr fontId="4" type="noConversion"/>
  </si>
  <si>
    <t>C_IF_002</t>
  </si>
  <si>
    <t>R_IF_002</t>
  </si>
  <si>
    <t>비상이다! 기간 내에 오로라 시티를 구하지 못하면 짤린다고 문자가 왔어!</t>
    <phoneticPr fontId="4" type="noConversion"/>
  </si>
  <si>
    <t>힘내고 도시를 구해보자.</t>
    <phoneticPr fontId="4" type="noConversion"/>
  </si>
  <si>
    <t>긴급 공지!</t>
    <phoneticPr fontId="4" type="noConversion"/>
  </si>
  <si>
    <t>※공지※ 오로라 시티의 협회장은 6일 내로 도시를 구하지 못하면 경질될 수 있음을 알립니다.</t>
    <phoneticPr fontId="4" type="noConversion"/>
  </si>
  <si>
    <t>이틀 남음</t>
    <phoneticPr fontId="4" type="noConversion"/>
  </si>
  <si>
    <t>(이틀 밖에 안남았다)</t>
    <phoneticPr fontId="4" type="noConversion"/>
  </si>
  <si>
    <t>지금이라도 도망쳐야 하나…</t>
    <phoneticPr fontId="4" type="noConversion"/>
  </si>
  <si>
    <t>아니 책임지고 끝까지 해보자</t>
    <phoneticPr fontId="4" type="noConversion"/>
  </si>
  <si>
    <t>도망은 무슨 끝까지 해야지</t>
    <phoneticPr fontId="4" type="noConversion"/>
  </si>
  <si>
    <t>이제는 더 이상 물러날 곳이 없다</t>
    <phoneticPr fontId="4" type="noConversion"/>
  </si>
  <si>
    <t>머뭇 걸릴 틈이 없다!</t>
    <phoneticPr fontId="4" type="noConversion"/>
  </si>
  <si>
    <t>조금만 더 해보고 아니다 싶으면 포기하자</t>
    <phoneticPr fontId="4" type="noConversion"/>
  </si>
  <si>
    <t>내일이 오면</t>
    <phoneticPr fontId="4" type="noConversion"/>
  </si>
  <si>
    <t>내일이면 모든 것이 끝난다. 협회장 마지막 불싸지르기다!</t>
    <phoneticPr fontId="4" type="noConversion"/>
  </si>
  <si>
    <t>좋아! 다 불태우고 가는거야!</t>
    <phoneticPr fontId="4" type="noConversion"/>
  </si>
  <si>
    <t>내가 없어도 협회는 있으니깐 남겨놔야지</t>
    <phoneticPr fontId="4" type="noConversion"/>
  </si>
  <si>
    <t>끝까지 가는거야!</t>
    <phoneticPr fontId="4" type="noConversion"/>
  </si>
  <si>
    <t>남겨진 이들을 위하여</t>
    <phoneticPr fontId="4" type="noConversion"/>
  </si>
  <si>
    <t>C_IF_01_002_Result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</si>
</sst>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 \(aaa\)"/>
    <numFmt numFmtId="177" formatCode="0&quot;%p&quot;"/>
  </numFmts>
  <fonts count="20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2"/>
      <color rgb="FF006100"/>
      <name val="맑은 고딕"/>
      <family val="3"/>
      <charset val="129"/>
    </font>
    <font>
      <b/>
      <sz val="26"/>
      <color rgb="FF006100"/>
      <name val="맑은 고딕"/>
      <family val="3"/>
      <charset val="129"/>
    </font>
    <font>
      <b/>
      <sz val="18"/>
      <color rgb="FF111827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14"/>
      <color rgb="FF111827"/>
      <name val="맑은 고딕"/>
      <family val="3"/>
      <charset val="129"/>
    </font>
    <font>
      <b/>
      <sz val="11"/>
      <color rgb="FF222222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EAF7E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BC"/>
      </left>
      <right/>
      <top style="thin">
        <color rgb="FFB7C9BC"/>
      </top>
      <bottom style="thin">
        <color rgb="FFB7C9BC"/>
      </bottom>
      <diagonal/>
    </border>
    <border>
      <left/>
      <right/>
      <top style="thin">
        <color rgb="FFB7C9BC"/>
      </top>
      <bottom style="thin">
        <color rgb="FFB7C9BC"/>
      </bottom>
      <diagonal/>
    </border>
    <border>
      <left/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9BC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B7C9BC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4" xfId="0" applyFont="1" applyFill="1" applyBorder="1">
      <alignment vertical="center"/>
    </xf>
    <xf numFmtId="0" fontId="15" fillId="6" borderId="15" xfId="0" applyFont="1" applyFill="1" applyBorder="1">
      <alignment vertical="center"/>
    </xf>
    <xf numFmtId="0" fontId="15" fillId="6" borderId="16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7" borderId="16" xfId="0" applyFill="1" applyBorder="1">
      <alignment vertical="center"/>
    </xf>
    <xf numFmtId="0" fontId="0" fillId="7" borderId="16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vertical="center" wrapText="1"/>
    </xf>
    <xf numFmtId="0" fontId="16" fillId="10" borderId="19" xfId="0" applyFont="1" applyFill="1" applyBorder="1" applyAlignment="1">
      <alignment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vertical="center" wrapText="1"/>
    </xf>
    <xf numFmtId="0" fontId="17" fillId="10" borderId="20" xfId="0" applyFont="1" applyFill="1" applyBorder="1" applyAlignment="1">
      <alignment vertical="center" wrapText="1"/>
    </xf>
    <xf numFmtId="0" fontId="17" fillId="10" borderId="21" xfId="0" applyFont="1" applyFill="1" applyBorder="1" applyAlignment="1">
      <alignment vertical="center" wrapText="1"/>
    </xf>
    <xf numFmtId="0" fontId="17" fillId="10" borderId="21" xfId="0" applyFont="1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vertical="center" wrapText="1"/>
    </xf>
    <xf numFmtId="0" fontId="16" fillId="10" borderId="25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left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vertical="center" wrapText="1"/>
    </xf>
    <xf numFmtId="0" fontId="17" fillId="10" borderId="25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0" fillId="3" borderId="30" xfId="0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22" xfId="0" applyFill="1" applyBorder="1">
      <alignment vertical="center"/>
    </xf>
    <xf numFmtId="0" fontId="0" fillId="11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left" vertical="center"/>
    </xf>
    <xf numFmtId="0" fontId="0" fillId="11" borderId="22" xfId="0" applyFill="1" applyBorder="1">
      <alignment vertical="center"/>
    </xf>
    <xf numFmtId="0" fontId="0" fillId="11" borderId="0" xfId="0" applyFill="1">
      <alignment vertical="center"/>
    </xf>
    <xf numFmtId="0" fontId="0" fillId="11" borderId="0" xfId="0" applyFill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0" fillId="12" borderId="1" xfId="0" applyFill="1" applyBorder="1">
      <alignment vertical="center"/>
    </xf>
    <xf numFmtId="0" fontId="6" fillId="4" borderId="31" xfId="0" applyFont="1" applyFill="1" applyBorder="1" applyAlignment="1">
      <alignment horizontal="center" vertical="center" wrapText="1"/>
    </xf>
    <xf numFmtId="0" fontId="1" fillId="2" borderId="30" xfId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left" vertical="center" wrapText="1"/>
    </xf>
    <xf numFmtId="0" fontId="6" fillId="4" borderId="31" xfId="0" applyFont="1" applyFill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177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13" borderId="1" xfId="0" applyFill="1" applyBorder="1">
      <alignment vertical="center"/>
    </xf>
    <xf numFmtId="177" fontId="0" fillId="12" borderId="1" xfId="0" applyNumberForma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5" borderId="29" xfId="0" applyFont="1" applyFill="1" applyBorder="1" applyAlignment="1">
      <alignment horizontal="center" vertical="center"/>
    </xf>
    <xf numFmtId="0" fontId="3" fillId="15" borderId="29" xfId="0" applyFont="1" applyFill="1" applyBorder="1" applyAlignment="1">
      <alignment horizontal="center" vertical="center" wrapText="1"/>
    </xf>
    <xf numFmtId="0" fontId="3" fillId="15" borderId="29" xfId="0" applyFont="1" applyFill="1" applyBorder="1" applyAlignment="1">
      <alignment vertical="center" wrapText="1"/>
    </xf>
    <xf numFmtId="0" fontId="3" fillId="15" borderId="29" xfId="0" applyFont="1" applyFill="1" applyBorder="1" applyAlignment="1">
      <alignment horizontal="left" vertical="center" wrapText="1"/>
    </xf>
    <xf numFmtId="0" fontId="0" fillId="15" borderId="29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0" fillId="3" borderId="29" xfId="0" applyFill="1" applyBorder="1" applyAlignment="1">
      <alignment horizontal="center" vertical="center"/>
    </xf>
    <xf numFmtId="0" fontId="3" fillId="16" borderId="22" xfId="0" applyFont="1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/>
    </xf>
    <xf numFmtId="0" fontId="3" fillId="16" borderId="22" xfId="0" applyFont="1" applyFill="1" applyBorder="1" applyAlignment="1">
      <alignment horizontal="left" vertical="center" wrapText="1"/>
    </xf>
    <xf numFmtId="0" fontId="0" fillId="16" borderId="22" xfId="0" applyFill="1" applyBorder="1">
      <alignment vertical="center"/>
    </xf>
    <xf numFmtId="0" fontId="0" fillId="16" borderId="22" xfId="0" applyFill="1" applyBorder="1" applyAlignment="1">
      <alignment horizontal="left" vertical="center"/>
    </xf>
    <xf numFmtId="0" fontId="3" fillId="0" borderId="29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8" fillId="8" borderId="11" xfId="0" applyFont="1" applyFill="1" applyBorder="1" applyAlignment="1">
      <alignment horizontal="left" vertical="center" wrapText="1"/>
    </xf>
    <xf numFmtId="0" fontId="18" fillId="8" borderId="12" xfId="0" applyFont="1" applyFill="1" applyBorder="1" applyAlignment="1">
      <alignment horizontal="left" vertical="center" wrapText="1"/>
    </xf>
    <xf numFmtId="0" fontId="18" fillId="8" borderId="13" xfId="0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vertical="center" wrapText="1"/>
    </xf>
    <xf numFmtId="0" fontId="18" fillId="8" borderId="26" xfId="0" applyFont="1" applyFill="1" applyBorder="1" applyAlignment="1">
      <alignment horizontal="left" vertical="center" wrapText="1"/>
    </xf>
    <xf numFmtId="0" fontId="18" fillId="8" borderId="27" xfId="0" applyFont="1" applyFill="1" applyBorder="1" applyAlignment="1">
      <alignment horizontal="left" vertical="center" wrapText="1"/>
    </xf>
    <xf numFmtId="0" fontId="18" fillId="8" borderId="28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8" borderId="6" xfId="0" applyFont="1" applyFill="1" applyBorder="1" applyAlignment="1">
      <alignment vertical="center" wrapText="1"/>
    </xf>
    <xf numFmtId="0" fontId="12" fillId="8" borderId="7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</cellXfs>
  <cellStyles count="2">
    <cellStyle name="좋음" xfId="1" xr:uid="{00000000-0005-0000-0000-000000000000}"/>
    <cellStyle name="표준" xfId="0" builtinId="0"/>
  </cellStyles>
  <dxfs count="9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4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7017E5-0DED-4542-A5EF-301FEC093C96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0f4e6989-e13b-4383-962b-a7c095a9f39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28"/>
  <sheetViews>
    <sheetView workbookViewId="0">
      <selection activeCell="J12" sqref="J12"/>
    </sheetView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1" spans="1:6" x14ac:dyDescent="0.3">
      <c r="A1" s="83"/>
    </row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55.5" customHeight="1" x14ac:dyDescent="0.3">
      <c r="B5" s="5">
        <v>46246</v>
      </c>
      <c r="C5" s="5" t="s">
        <v>6</v>
      </c>
      <c r="D5" s="8" t="s">
        <v>7</v>
      </c>
      <c r="E5" s="29" t="s">
        <v>8</v>
      </c>
      <c r="F5" s="5"/>
    </row>
    <row r="6" spans="1:6" x14ac:dyDescent="0.3">
      <c r="B6" s="5">
        <v>46265</v>
      </c>
      <c r="C6" s="36" t="s">
        <v>9</v>
      </c>
      <c r="D6" s="8" t="s">
        <v>7</v>
      </c>
      <c r="E6" s="37" t="s">
        <v>10</v>
      </c>
      <c r="F6" s="5"/>
    </row>
    <row r="7" spans="1:6" ht="49.5" x14ac:dyDescent="0.3">
      <c r="B7" s="5">
        <v>46266</v>
      </c>
      <c r="C7" s="36" t="s">
        <v>11</v>
      </c>
      <c r="D7" s="8" t="s">
        <v>7</v>
      </c>
      <c r="E7" s="29" t="s">
        <v>12</v>
      </c>
      <c r="F7" s="5"/>
    </row>
    <row r="8" spans="1:6" x14ac:dyDescent="0.3">
      <c r="B8" s="5">
        <v>46268</v>
      </c>
      <c r="C8" s="36" t="s">
        <v>13</v>
      </c>
      <c r="D8" s="8" t="s">
        <v>7</v>
      </c>
      <c r="E8" s="37" t="s">
        <v>14</v>
      </c>
      <c r="F8" s="5"/>
    </row>
    <row r="9" spans="1:6" ht="33" x14ac:dyDescent="0.3">
      <c r="B9" s="5">
        <v>46272</v>
      </c>
      <c r="C9" s="36" t="s">
        <v>15</v>
      </c>
      <c r="D9" s="8" t="s">
        <v>7</v>
      </c>
      <c r="E9" s="37" t="s">
        <v>16</v>
      </c>
      <c r="F9" s="5"/>
    </row>
    <row r="10" spans="1:6" x14ac:dyDescent="0.3">
      <c r="B10" s="5">
        <v>46279</v>
      </c>
      <c r="C10" s="36" t="s">
        <v>17</v>
      </c>
      <c r="D10" s="8" t="s">
        <v>7</v>
      </c>
      <c r="E10" s="37" t="s">
        <v>18</v>
      </c>
      <c r="F10" s="5"/>
    </row>
    <row r="11" spans="1:6" x14ac:dyDescent="0.3">
      <c r="B11" s="5">
        <v>46280</v>
      </c>
      <c r="C11" s="36" t="s">
        <v>19</v>
      </c>
      <c r="D11" s="8" t="s">
        <v>7</v>
      </c>
      <c r="E11" s="37" t="s">
        <v>20</v>
      </c>
      <c r="F11" s="5"/>
    </row>
    <row r="12" spans="1:6" x14ac:dyDescent="0.3">
      <c r="B12" s="5">
        <v>46288</v>
      </c>
      <c r="C12" s="36" t="s">
        <v>667</v>
      </c>
      <c r="D12" s="8" t="s">
        <v>7</v>
      </c>
      <c r="E12" s="37" t="s">
        <v>668</v>
      </c>
      <c r="F12" s="5"/>
    </row>
    <row r="13" spans="1:6" x14ac:dyDescent="0.3">
      <c r="B13" s="5">
        <v>46294</v>
      </c>
      <c r="C13" s="36" t="s">
        <v>669</v>
      </c>
      <c r="D13" s="8" t="s">
        <v>7</v>
      </c>
      <c r="E13" s="37" t="s">
        <v>668</v>
      </c>
      <c r="F13" s="5"/>
    </row>
    <row r="14" spans="1:6" x14ac:dyDescent="0.3">
      <c r="B14" s="5">
        <v>46296</v>
      </c>
      <c r="C14" s="36" t="s">
        <v>671</v>
      </c>
      <c r="D14" s="8" t="s">
        <v>7</v>
      </c>
      <c r="E14" s="37" t="s">
        <v>668</v>
      </c>
      <c r="F14" s="5"/>
    </row>
    <row r="15" spans="1:6" x14ac:dyDescent="0.3">
      <c r="B15" s="5">
        <v>46296</v>
      </c>
      <c r="C15" s="36" t="s">
        <v>704</v>
      </c>
      <c r="D15" s="8" t="s">
        <v>7</v>
      </c>
      <c r="E15" s="37" t="s">
        <v>708</v>
      </c>
      <c r="F15" s="5"/>
    </row>
    <row r="16" spans="1:6" ht="33" x14ac:dyDescent="0.3">
      <c r="B16" s="5">
        <v>46308</v>
      </c>
      <c r="C16" s="36" t="s">
        <v>710</v>
      </c>
      <c r="D16" s="8" t="s">
        <v>7</v>
      </c>
      <c r="E16" s="37" t="s">
        <v>711</v>
      </c>
      <c r="F16" s="5"/>
    </row>
    <row r="18" spans="1:6" ht="38.25" x14ac:dyDescent="0.3">
      <c r="A18" s="2" t="s">
        <v>21</v>
      </c>
      <c r="B18" s="2"/>
    </row>
    <row r="19" spans="1:6" ht="200.1" customHeight="1" x14ac:dyDescent="0.3">
      <c r="B19" s="165" t="s">
        <v>22</v>
      </c>
      <c r="C19" s="166"/>
      <c r="D19" s="166"/>
      <c r="E19" s="166"/>
      <c r="F19" s="166"/>
    </row>
    <row r="21" spans="1:6" ht="38.25" x14ac:dyDescent="0.3">
      <c r="A21" s="2" t="s">
        <v>23</v>
      </c>
      <c r="B21" s="2"/>
    </row>
    <row r="22" spans="1:6" ht="174" customHeight="1" x14ac:dyDescent="0.3">
      <c r="A22" s="2"/>
      <c r="B22" s="165" t="s">
        <v>24</v>
      </c>
      <c r="C22" s="166"/>
      <c r="D22" s="166"/>
      <c r="E22" s="166"/>
      <c r="F22" s="166"/>
    </row>
    <row r="23" spans="1:6" x14ac:dyDescent="0.3">
      <c r="C23" s="7"/>
      <c r="D23" s="7"/>
      <c r="E23" s="7"/>
      <c r="F23" s="7"/>
    </row>
    <row r="24" spans="1:6" ht="38.25" x14ac:dyDescent="0.3">
      <c r="A24" s="2" t="s">
        <v>25</v>
      </c>
      <c r="B24" s="2"/>
    </row>
    <row r="25" spans="1:6" ht="257.25" customHeight="1" x14ac:dyDescent="0.3">
      <c r="A25" s="2"/>
      <c r="B25" s="165" t="s">
        <v>26</v>
      </c>
      <c r="C25" s="166"/>
      <c r="D25" s="166"/>
      <c r="E25" s="166"/>
      <c r="F25" s="166"/>
    </row>
    <row r="27" spans="1:6" ht="38.25" x14ac:dyDescent="0.3">
      <c r="A27" s="2" t="s">
        <v>27</v>
      </c>
      <c r="B27" s="2"/>
    </row>
    <row r="28" spans="1:6" ht="85.5" customHeight="1" x14ac:dyDescent="0.3">
      <c r="B28" s="167" t="s">
        <v>28</v>
      </c>
      <c r="C28" s="168"/>
      <c r="D28" s="168"/>
      <c r="E28" s="168"/>
      <c r="F28" s="169"/>
    </row>
  </sheetData>
  <mergeCells count="4">
    <mergeCell ref="B19:F19"/>
    <mergeCell ref="B22:F22"/>
    <mergeCell ref="B25:F25"/>
    <mergeCell ref="B28:F2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81"/>
  <sheetViews>
    <sheetView showGridLines="0" topLeftCell="A32" workbookViewId="0">
      <selection activeCell="F45" sqref="F45:F48"/>
    </sheetView>
  </sheetViews>
  <sheetFormatPr defaultRowHeight="16.5" x14ac:dyDescent="0.3"/>
  <cols>
    <col min="1" max="1" width="28" customWidth="1"/>
    <col min="2" max="2" width="34" customWidth="1"/>
    <col min="3" max="3" width="12" customWidth="1"/>
    <col min="4" max="4" width="11" customWidth="1"/>
    <col min="5" max="5" width="15" customWidth="1"/>
    <col min="6" max="6" width="65.25" customWidth="1"/>
    <col min="7" max="7" width="45" customWidth="1"/>
    <col min="8" max="8" width="62" customWidth="1"/>
  </cols>
  <sheetData>
    <row r="1" spans="1:8" ht="39.75" customHeight="1" x14ac:dyDescent="0.3">
      <c r="A1" s="180" t="s">
        <v>29</v>
      </c>
      <c r="B1" s="180"/>
      <c r="C1" s="180"/>
      <c r="D1" s="180"/>
      <c r="E1" s="180"/>
      <c r="F1" s="180"/>
      <c r="G1" s="180"/>
      <c r="H1" s="180"/>
    </row>
    <row r="2" spans="1:8" x14ac:dyDescent="0.3">
      <c r="A2" s="43"/>
      <c r="B2" s="43"/>
      <c r="C2" s="43"/>
      <c r="D2" s="43"/>
      <c r="E2" s="43"/>
      <c r="F2" s="43"/>
      <c r="G2" s="43"/>
      <c r="H2" s="43"/>
    </row>
    <row r="3" spans="1:8" s="30" customFormat="1" ht="21.6" customHeight="1" x14ac:dyDescent="0.3">
      <c r="A3" s="181" t="s">
        <v>30</v>
      </c>
      <c r="B3" s="182"/>
      <c r="C3" s="182"/>
      <c r="D3" s="182"/>
      <c r="E3" s="182"/>
      <c r="F3" s="182"/>
      <c r="G3" s="182"/>
      <c r="H3" s="183"/>
    </row>
    <row r="4" spans="1:8" ht="16.5" customHeight="1" x14ac:dyDescent="0.3">
      <c r="A4" s="49" t="s">
        <v>31</v>
      </c>
      <c r="B4" s="49" t="s">
        <v>32</v>
      </c>
      <c r="C4" s="49" t="s">
        <v>33</v>
      </c>
      <c r="D4" s="49" t="s">
        <v>34</v>
      </c>
      <c r="E4" s="49" t="s">
        <v>35</v>
      </c>
      <c r="F4" s="49" t="s">
        <v>36</v>
      </c>
      <c r="G4" s="49" t="s">
        <v>37</v>
      </c>
      <c r="H4" s="49" t="s">
        <v>38</v>
      </c>
    </row>
    <row r="5" spans="1:8" ht="28.7" customHeight="1" x14ac:dyDescent="0.3">
      <c r="A5" s="51" t="s">
        <v>39</v>
      </c>
      <c r="B5" s="51" t="s">
        <v>40</v>
      </c>
      <c r="C5" s="51" t="s">
        <v>41</v>
      </c>
      <c r="D5" s="51" t="s">
        <v>42</v>
      </c>
      <c r="E5" s="51" t="s">
        <v>43</v>
      </c>
      <c r="F5" s="50" t="s">
        <v>727</v>
      </c>
      <c r="G5" s="52" t="s">
        <v>44</v>
      </c>
      <c r="H5" s="50" t="s">
        <v>728</v>
      </c>
    </row>
    <row r="6" spans="1:8" ht="16.5" customHeight="1" x14ac:dyDescent="0.3">
      <c r="A6" s="51" t="s">
        <v>45</v>
      </c>
      <c r="B6" s="51" t="s">
        <v>46</v>
      </c>
      <c r="C6" s="51" t="s">
        <v>47</v>
      </c>
      <c r="D6" s="51" t="s">
        <v>42</v>
      </c>
      <c r="E6" s="51" t="s">
        <v>43</v>
      </c>
      <c r="F6" s="52" t="s">
        <v>48</v>
      </c>
      <c r="G6" s="52" t="s">
        <v>49</v>
      </c>
      <c r="H6" s="52" t="s">
        <v>50</v>
      </c>
    </row>
    <row r="7" spans="1:8" ht="16.5" customHeight="1" x14ac:dyDescent="0.3">
      <c r="A7" s="51" t="s">
        <v>51</v>
      </c>
      <c r="B7" s="51" t="s">
        <v>52</v>
      </c>
      <c r="C7" s="51" t="s">
        <v>41</v>
      </c>
      <c r="D7" s="51" t="s">
        <v>53</v>
      </c>
      <c r="E7" s="51" t="s">
        <v>54</v>
      </c>
      <c r="F7" s="52" t="s">
        <v>43</v>
      </c>
      <c r="G7" s="52" t="s">
        <v>55</v>
      </c>
      <c r="H7" s="52" t="s">
        <v>56</v>
      </c>
    </row>
    <row r="8" spans="1:8" ht="34.5" x14ac:dyDescent="0.3">
      <c r="A8" s="51" t="s">
        <v>57</v>
      </c>
      <c r="B8" s="51" t="s">
        <v>58</v>
      </c>
      <c r="C8" s="51" t="s">
        <v>47</v>
      </c>
      <c r="D8" s="51" t="s">
        <v>42</v>
      </c>
      <c r="E8" s="51" t="s">
        <v>43</v>
      </c>
      <c r="F8" s="50" t="s">
        <v>724</v>
      </c>
      <c r="G8" s="52" t="s">
        <v>59</v>
      </c>
      <c r="H8" s="52" t="s">
        <v>60</v>
      </c>
    </row>
    <row r="9" spans="1:8" ht="16.5" customHeight="1" x14ac:dyDescent="0.3">
      <c r="A9" s="51" t="s">
        <v>61</v>
      </c>
      <c r="B9" s="51" t="s">
        <v>62</v>
      </c>
      <c r="C9" s="51" t="s">
        <v>41</v>
      </c>
      <c r="D9" s="51" t="s">
        <v>42</v>
      </c>
      <c r="E9" s="51" t="s">
        <v>43</v>
      </c>
      <c r="F9" s="52" t="s">
        <v>43</v>
      </c>
      <c r="G9" s="52" t="s">
        <v>43</v>
      </c>
      <c r="H9" s="52" t="s">
        <v>63</v>
      </c>
    </row>
    <row r="10" spans="1:8" ht="16.5" customHeight="1" x14ac:dyDescent="0.3">
      <c r="A10" s="51" t="s">
        <v>5</v>
      </c>
      <c r="B10" s="51" t="s">
        <v>64</v>
      </c>
      <c r="C10" s="51" t="s">
        <v>41</v>
      </c>
      <c r="D10" s="51" t="s">
        <v>65</v>
      </c>
      <c r="E10" s="51" t="s">
        <v>54</v>
      </c>
      <c r="F10" s="52" t="s">
        <v>43</v>
      </c>
      <c r="G10" s="52" t="s">
        <v>43</v>
      </c>
      <c r="H10" s="52" t="s">
        <v>66</v>
      </c>
    </row>
    <row r="11" spans="1:8" ht="16.5" customHeight="1" x14ac:dyDescent="0.3">
      <c r="A11" s="53"/>
      <c r="B11" s="54"/>
      <c r="C11" s="54"/>
      <c r="D11" s="54"/>
      <c r="E11" s="54"/>
      <c r="F11" s="55"/>
      <c r="G11" s="55"/>
      <c r="H11" s="56"/>
    </row>
    <row r="12" spans="1:8" ht="20.25" x14ac:dyDescent="0.3">
      <c r="A12" s="170" t="s">
        <v>67</v>
      </c>
      <c r="B12" s="171"/>
      <c r="C12" s="171"/>
      <c r="D12" s="171"/>
      <c r="E12" s="171"/>
      <c r="F12" s="171"/>
      <c r="G12" s="171"/>
      <c r="H12" s="172"/>
    </row>
    <row r="13" spans="1:8" ht="16.5" customHeight="1" x14ac:dyDescent="0.3">
      <c r="A13" s="49" t="s">
        <v>31</v>
      </c>
      <c r="B13" s="49" t="s">
        <v>32</v>
      </c>
      <c r="C13" s="49" t="s">
        <v>33</v>
      </c>
      <c r="D13" s="49" t="s">
        <v>34</v>
      </c>
      <c r="E13" s="49" t="s">
        <v>35</v>
      </c>
      <c r="F13" s="49" t="s">
        <v>36</v>
      </c>
      <c r="G13" s="49" t="s">
        <v>37</v>
      </c>
      <c r="H13" s="49" t="s">
        <v>38</v>
      </c>
    </row>
    <row r="14" spans="1:8" ht="16.5" customHeight="1" x14ac:dyDescent="0.3">
      <c r="A14" s="51" t="s">
        <v>68</v>
      </c>
      <c r="B14" s="51" t="s">
        <v>69</v>
      </c>
      <c r="C14" s="51" t="s">
        <v>47</v>
      </c>
      <c r="D14" s="51" t="s">
        <v>42</v>
      </c>
      <c r="E14" s="51" t="s">
        <v>43</v>
      </c>
      <c r="F14" s="52" t="s">
        <v>70</v>
      </c>
      <c r="G14" s="52" t="s">
        <v>71</v>
      </c>
      <c r="H14" s="52" t="s">
        <v>72</v>
      </c>
    </row>
    <row r="15" spans="1:8" ht="16.5" customHeight="1" x14ac:dyDescent="0.3">
      <c r="A15" s="51" t="s">
        <v>73</v>
      </c>
      <c r="B15" s="51" t="s">
        <v>74</v>
      </c>
      <c r="C15" s="51" t="s">
        <v>47</v>
      </c>
      <c r="D15" s="51" t="s">
        <v>42</v>
      </c>
      <c r="E15" s="51" t="s">
        <v>43</v>
      </c>
      <c r="F15" s="52" t="s">
        <v>75</v>
      </c>
      <c r="G15" s="52" t="s">
        <v>76</v>
      </c>
      <c r="H15" s="52" t="s">
        <v>77</v>
      </c>
    </row>
    <row r="16" spans="1:8" ht="16.5" customHeight="1" x14ac:dyDescent="0.3">
      <c r="A16" s="51" t="s">
        <v>78</v>
      </c>
      <c r="B16" s="51" t="s">
        <v>79</v>
      </c>
      <c r="C16" s="51" t="s">
        <v>47</v>
      </c>
      <c r="D16" s="51" t="s">
        <v>53</v>
      </c>
      <c r="E16" s="51" t="s">
        <v>54</v>
      </c>
      <c r="F16" s="50" t="s">
        <v>80</v>
      </c>
      <c r="G16" s="52" t="s">
        <v>81</v>
      </c>
      <c r="H16" s="52" t="s">
        <v>82</v>
      </c>
    </row>
    <row r="17" spans="1:8" ht="16.5" customHeight="1" x14ac:dyDescent="0.3">
      <c r="A17" s="51" t="s">
        <v>83</v>
      </c>
      <c r="B17" s="51" t="s">
        <v>84</v>
      </c>
      <c r="C17" s="51" t="s">
        <v>47</v>
      </c>
      <c r="D17" s="51" t="s">
        <v>53</v>
      </c>
      <c r="E17" s="51" t="s">
        <v>54</v>
      </c>
      <c r="F17" s="52" t="s">
        <v>85</v>
      </c>
      <c r="G17" s="52" t="s">
        <v>86</v>
      </c>
      <c r="H17" s="52" t="s">
        <v>87</v>
      </c>
    </row>
    <row r="18" spans="1:8" ht="16.5" customHeight="1" x14ac:dyDescent="0.3">
      <c r="A18" s="51" t="s">
        <v>88</v>
      </c>
      <c r="B18" s="51" t="s">
        <v>89</v>
      </c>
      <c r="C18" s="51" t="s">
        <v>47</v>
      </c>
      <c r="D18" s="51" t="s">
        <v>42</v>
      </c>
      <c r="E18" s="51" t="s">
        <v>43</v>
      </c>
      <c r="F18" s="52" t="s">
        <v>90</v>
      </c>
      <c r="G18" s="52" t="s">
        <v>91</v>
      </c>
      <c r="H18" s="52" t="s">
        <v>92</v>
      </c>
    </row>
    <row r="19" spans="1:8" ht="16.5" customHeight="1" x14ac:dyDescent="0.3">
      <c r="A19" s="51" t="s">
        <v>93</v>
      </c>
      <c r="B19" s="51" t="s">
        <v>94</v>
      </c>
      <c r="C19" s="51" t="s">
        <v>47</v>
      </c>
      <c r="D19" s="51" t="s">
        <v>42</v>
      </c>
      <c r="E19" s="51" t="s">
        <v>43</v>
      </c>
      <c r="F19" s="52" t="s">
        <v>95</v>
      </c>
      <c r="G19" s="52" t="s">
        <v>96</v>
      </c>
      <c r="H19" s="52" t="s">
        <v>97</v>
      </c>
    </row>
    <row r="20" spans="1:8" ht="16.5" customHeight="1" x14ac:dyDescent="0.3">
      <c r="A20" s="53"/>
      <c r="B20" s="54"/>
      <c r="C20" s="54"/>
      <c r="D20" s="54"/>
      <c r="E20" s="54"/>
      <c r="F20" s="55"/>
      <c r="G20" s="55"/>
      <c r="H20" s="56"/>
    </row>
    <row r="21" spans="1:8" ht="20.25" x14ac:dyDescent="0.3">
      <c r="A21" s="173" t="s">
        <v>98</v>
      </c>
      <c r="B21" s="174"/>
      <c r="C21" s="175"/>
      <c r="D21" s="175"/>
      <c r="E21" s="175"/>
      <c r="F21" s="174"/>
      <c r="G21" s="174"/>
      <c r="H21" s="176"/>
    </row>
    <row r="22" spans="1:8" ht="16.5" customHeight="1" x14ac:dyDescent="0.3">
      <c r="A22" s="57" t="s">
        <v>31</v>
      </c>
      <c r="B22" s="57" t="s">
        <v>32</v>
      </c>
      <c r="C22" s="57" t="s">
        <v>33</v>
      </c>
      <c r="D22" s="57" t="s">
        <v>34</v>
      </c>
      <c r="E22" s="57" t="s">
        <v>35</v>
      </c>
      <c r="F22" s="57" t="s">
        <v>36</v>
      </c>
      <c r="G22" s="57" t="s">
        <v>37</v>
      </c>
      <c r="H22" s="57" t="s">
        <v>38</v>
      </c>
    </row>
    <row r="23" spans="1:8" s="31" customFormat="1" ht="16.5" customHeight="1" x14ac:dyDescent="0.3">
      <c r="A23" s="51" t="s">
        <v>99</v>
      </c>
      <c r="B23" s="59" t="s">
        <v>100</v>
      </c>
      <c r="C23" s="59" t="s">
        <v>41</v>
      </c>
      <c r="D23" s="59" t="s">
        <v>65</v>
      </c>
      <c r="E23" s="59" t="s">
        <v>54</v>
      </c>
      <c r="F23" s="60" t="s">
        <v>43</v>
      </c>
      <c r="G23" s="60" t="s">
        <v>101</v>
      </c>
      <c r="H23" s="60" t="s">
        <v>102</v>
      </c>
    </row>
    <row r="24" spans="1:8" ht="16.5" customHeight="1" x14ac:dyDescent="0.3">
      <c r="A24" s="51" t="s">
        <v>103</v>
      </c>
      <c r="B24" s="51" t="s">
        <v>104</v>
      </c>
      <c r="C24" s="51" t="s">
        <v>41</v>
      </c>
      <c r="D24" s="51" t="s">
        <v>65</v>
      </c>
      <c r="E24" s="51" t="s">
        <v>54</v>
      </c>
      <c r="F24" s="51" t="s">
        <v>43</v>
      </c>
      <c r="G24" s="51" t="s">
        <v>101</v>
      </c>
      <c r="H24" s="51" t="s">
        <v>105</v>
      </c>
    </row>
    <row r="25" spans="1:8" ht="16.5" customHeight="1" x14ac:dyDescent="0.3">
      <c r="A25" s="51" t="s">
        <v>106</v>
      </c>
      <c r="B25" s="51" t="s">
        <v>107</v>
      </c>
      <c r="C25" s="51" t="s">
        <v>41</v>
      </c>
      <c r="D25" s="51" t="s">
        <v>42</v>
      </c>
      <c r="E25" s="51" t="s">
        <v>43</v>
      </c>
      <c r="F25" s="52" t="s">
        <v>43</v>
      </c>
      <c r="G25" s="52" t="s">
        <v>101</v>
      </c>
      <c r="H25" s="52" t="s">
        <v>108</v>
      </c>
    </row>
    <row r="26" spans="1:8" ht="16.5" customHeight="1" x14ac:dyDescent="0.3">
      <c r="A26" s="51" t="s">
        <v>109</v>
      </c>
      <c r="B26" s="51" t="s">
        <v>110</v>
      </c>
      <c r="C26" s="51" t="s">
        <v>41</v>
      </c>
      <c r="D26" s="51" t="s">
        <v>42</v>
      </c>
      <c r="E26" s="51" t="s">
        <v>43</v>
      </c>
      <c r="F26" s="52" t="s">
        <v>43</v>
      </c>
      <c r="G26" s="52" t="s">
        <v>101</v>
      </c>
      <c r="H26" s="52" t="s">
        <v>111</v>
      </c>
    </row>
    <row r="27" spans="1:8" ht="16.5" customHeight="1" x14ac:dyDescent="0.3">
      <c r="A27" s="51" t="s">
        <v>112</v>
      </c>
      <c r="B27" s="51" t="s">
        <v>113</v>
      </c>
      <c r="C27" s="51" t="s">
        <v>41</v>
      </c>
      <c r="D27" s="51" t="s">
        <v>42</v>
      </c>
      <c r="E27" s="51" t="s">
        <v>43</v>
      </c>
      <c r="F27" s="50" t="s">
        <v>729</v>
      </c>
      <c r="G27" s="52" t="s">
        <v>114</v>
      </c>
      <c r="H27" s="52" t="s">
        <v>115</v>
      </c>
    </row>
    <row r="28" spans="1:8" ht="16.5" customHeight="1" x14ac:dyDescent="0.3">
      <c r="A28" s="53"/>
      <c r="B28" s="54"/>
      <c r="C28" s="54"/>
      <c r="D28" s="54"/>
      <c r="E28" s="54"/>
      <c r="F28" s="55"/>
      <c r="G28" s="55"/>
      <c r="H28" s="56"/>
    </row>
    <row r="29" spans="1:8" ht="20.25" x14ac:dyDescent="0.3">
      <c r="A29" s="170" t="s">
        <v>116</v>
      </c>
      <c r="B29" s="171"/>
      <c r="C29" s="171"/>
      <c r="D29" s="171"/>
      <c r="E29" s="171"/>
      <c r="F29" s="171"/>
      <c r="G29" s="171"/>
      <c r="H29" s="172"/>
    </row>
    <row r="30" spans="1:8" ht="16.5" customHeight="1" x14ac:dyDescent="0.3">
      <c r="A30" s="49" t="s">
        <v>31</v>
      </c>
      <c r="B30" s="49" t="s">
        <v>32</v>
      </c>
      <c r="C30" s="49" t="s">
        <v>33</v>
      </c>
      <c r="D30" s="49" t="s">
        <v>34</v>
      </c>
      <c r="E30" s="49" t="s">
        <v>35</v>
      </c>
      <c r="F30" s="49" t="s">
        <v>36</v>
      </c>
      <c r="G30" s="49" t="s">
        <v>37</v>
      </c>
      <c r="H30" s="49" t="s">
        <v>38</v>
      </c>
    </row>
    <row r="31" spans="1:8" ht="16.5" customHeight="1" x14ac:dyDescent="0.3">
      <c r="A31" s="51" t="s">
        <v>39</v>
      </c>
      <c r="B31" s="51" t="s">
        <v>40</v>
      </c>
      <c r="C31" s="51" t="s">
        <v>41</v>
      </c>
      <c r="D31" s="51" t="s">
        <v>42</v>
      </c>
      <c r="E31" s="51" t="s">
        <v>43</v>
      </c>
      <c r="F31" s="52" t="s">
        <v>43</v>
      </c>
      <c r="G31" s="52" t="s">
        <v>117</v>
      </c>
      <c r="H31" s="52" t="s">
        <v>118</v>
      </c>
    </row>
    <row r="32" spans="1:8" ht="16.5" customHeight="1" x14ac:dyDescent="0.3">
      <c r="A32" s="51" t="s">
        <v>112</v>
      </c>
      <c r="B32" s="51" t="s">
        <v>113</v>
      </c>
      <c r="C32" s="51" t="s">
        <v>41</v>
      </c>
      <c r="D32" s="51" t="s">
        <v>42</v>
      </c>
      <c r="E32" s="51" t="s">
        <v>43</v>
      </c>
      <c r="F32" s="50" t="s">
        <v>729</v>
      </c>
      <c r="G32" s="52" t="s">
        <v>119</v>
      </c>
      <c r="H32" s="52" t="s">
        <v>120</v>
      </c>
    </row>
    <row r="33" spans="1:8" ht="16.5" customHeight="1" x14ac:dyDescent="0.3">
      <c r="A33" s="51" t="s">
        <v>121</v>
      </c>
      <c r="B33" s="51" t="s">
        <v>122</v>
      </c>
      <c r="C33" s="51" t="s">
        <v>47</v>
      </c>
      <c r="D33" s="51" t="s">
        <v>42</v>
      </c>
      <c r="E33" s="51" t="s">
        <v>43</v>
      </c>
      <c r="F33" s="52" t="s">
        <v>123</v>
      </c>
      <c r="G33" s="52" t="s">
        <v>124</v>
      </c>
      <c r="H33" s="52" t="s">
        <v>125</v>
      </c>
    </row>
    <row r="34" spans="1:8" ht="16.5" customHeight="1" x14ac:dyDescent="0.3">
      <c r="A34" s="51" t="s">
        <v>126</v>
      </c>
      <c r="B34" s="51" t="s">
        <v>127</v>
      </c>
      <c r="C34" s="51" t="s">
        <v>47</v>
      </c>
      <c r="D34" s="51" t="s">
        <v>42</v>
      </c>
      <c r="E34" s="51" t="s">
        <v>43</v>
      </c>
      <c r="F34" s="52" t="s">
        <v>128</v>
      </c>
      <c r="G34" s="52" t="s">
        <v>43</v>
      </c>
      <c r="H34" s="52" t="s">
        <v>129</v>
      </c>
    </row>
    <row r="35" spans="1:8" ht="16.5" customHeight="1" x14ac:dyDescent="0.3">
      <c r="A35" s="51" t="s">
        <v>130</v>
      </c>
      <c r="B35" s="51" t="s">
        <v>131</v>
      </c>
      <c r="C35" s="51" t="s">
        <v>47</v>
      </c>
      <c r="D35" s="51" t="s">
        <v>65</v>
      </c>
      <c r="E35" s="51" t="s">
        <v>54</v>
      </c>
      <c r="F35" s="52" t="s">
        <v>123</v>
      </c>
      <c r="G35" s="52" t="s">
        <v>124</v>
      </c>
      <c r="H35" s="52" t="s">
        <v>132</v>
      </c>
    </row>
    <row r="36" spans="1:8" ht="16.5" customHeight="1" x14ac:dyDescent="0.3">
      <c r="A36" s="51" t="s">
        <v>133</v>
      </c>
      <c r="B36" s="51" t="s">
        <v>134</v>
      </c>
      <c r="C36" s="51" t="s">
        <v>47</v>
      </c>
      <c r="D36" s="51" t="s">
        <v>53</v>
      </c>
      <c r="E36" s="51" t="s">
        <v>54</v>
      </c>
      <c r="F36" s="52" t="s">
        <v>128</v>
      </c>
      <c r="G36" s="52" t="s">
        <v>135</v>
      </c>
      <c r="H36" s="52" t="s">
        <v>136</v>
      </c>
    </row>
    <row r="37" spans="1:8" ht="16.5" customHeight="1" x14ac:dyDescent="0.3">
      <c r="A37" s="59" t="s">
        <v>137</v>
      </c>
      <c r="B37" s="59" t="s">
        <v>138</v>
      </c>
      <c r="C37" s="59" t="s">
        <v>47</v>
      </c>
      <c r="D37" s="59" t="s">
        <v>42</v>
      </c>
      <c r="E37" s="59" t="s">
        <v>43</v>
      </c>
      <c r="F37" s="58" t="s">
        <v>80</v>
      </c>
      <c r="G37" s="60" t="s">
        <v>139</v>
      </c>
      <c r="H37" s="60" t="s">
        <v>140</v>
      </c>
    </row>
    <row r="38" spans="1:8" ht="16.5" customHeight="1" x14ac:dyDescent="0.3">
      <c r="A38" s="59" t="s">
        <v>141</v>
      </c>
      <c r="B38" s="59" t="s">
        <v>142</v>
      </c>
      <c r="C38" s="59" t="s">
        <v>47</v>
      </c>
      <c r="D38" s="59" t="s">
        <v>42</v>
      </c>
      <c r="E38" s="59" t="s">
        <v>43</v>
      </c>
      <c r="F38" s="60" t="s">
        <v>143</v>
      </c>
      <c r="G38" s="60" t="s">
        <v>43</v>
      </c>
      <c r="H38" s="60" t="s">
        <v>144</v>
      </c>
    </row>
    <row r="39" spans="1:8" ht="16.5" customHeight="1" x14ac:dyDescent="0.3">
      <c r="A39" s="51" t="s">
        <v>145</v>
      </c>
      <c r="B39" s="59" t="s">
        <v>146</v>
      </c>
      <c r="C39" s="59" t="s">
        <v>47</v>
      </c>
      <c r="D39" s="59" t="s">
        <v>65</v>
      </c>
      <c r="E39" s="59" t="s">
        <v>54</v>
      </c>
      <c r="F39" s="58" t="s">
        <v>80</v>
      </c>
      <c r="G39" s="60" t="s">
        <v>139</v>
      </c>
      <c r="H39" s="60" t="s">
        <v>147</v>
      </c>
    </row>
    <row r="40" spans="1:8" ht="16.5" customHeight="1" x14ac:dyDescent="0.3">
      <c r="A40" s="51" t="s">
        <v>148</v>
      </c>
      <c r="B40" s="51" t="s">
        <v>149</v>
      </c>
      <c r="C40" s="51" t="s">
        <v>47</v>
      </c>
      <c r="D40" s="51" t="s">
        <v>53</v>
      </c>
      <c r="E40" s="51" t="s">
        <v>54</v>
      </c>
      <c r="F40" s="51" t="s">
        <v>143</v>
      </c>
      <c r="G40" s="51" t="s">
        <v>150</v>
      </c>
      <c r="H40" s="51" t="s">
        <v>151</v>
      </c>
    </row>
    <row r="41" spans="1:8" ht="16.5" customHeight="1" x14ac:dyDescent="0.3">
      <c r="A41" s="53"/>
      <c r="B41" s="54"/>
      <c r="C41" s="54"/>
      <c r="D41" s="54"/>
      <c r="E41" s="54"/>
      <c r="F41" s="55"/>
      <c r="G41" s="55"/>
      <c r="H41" s="56"/>
    </row>
    <row r="42" spans="1:8" ht="20.25" x14ac:dyDescent="0.3">
      <c r="A42" s="170" t="s">
        <v>152</v>
      </c>
      <c r="B42" s="171"/>
      <c r="C42" s="171"/>
      <c r="D42" s="171"/>
      <c r="E42" s="171"/>
      <c r="F42" s="171"/>
      <c r="G42" s="171"/>
      <c r="H42" s="172"/>
    </row>
    <row r="43" spans="1:8" ht="16.5" customHeight="1" x14ac:dyDescent="0.3">
      <c r="A43" s="49" t="s">
        <v>31</v>
      </c>
      <c r="B43" s="49" t="s">
        <v>32</v>
      </c>
      <c r="C43" s="49" t="s">
        <v>33</v>
      </c>
      <c r="D43" s="49" t="s">
        <v>34</v>
      </c>
      <c r="E43" s="49" t="s">
        <v>35</v>
      </c>
      <c r="F43" s="49" t="s">
        <v>36</v>
      </c>
      <c r="G43" s="49" t="s">
        <v>37</v>
      </c>
      <c r="H43" s="49" t="s">
        <v>38</v>
      </c>
    </row>
    <row r="44" spans="1:8" ht="16.5" customHeight="1" x14ac:dyDescent="0.3">
      <c r="A44" s="51" t="s">
        <v>106</v>
      </c>
      <c r="B44" s="51" t="s">
        <v>107</v>
      </c>
      <c r="C44" s="51" t="s">
        <v>41</v>
      </c>
      <c r="D44" s="51" t="s">
        <v>42</v>
      </c>
      <c r="E44" s="51" t="s">
        <v>43</v>
      </c>
      <c r="F44" s="52" t="s">
        <v>43</v>
      </c>
      <c r="G44" s="52" t="s">
        <v>153</v>
      </c>
      <c r="H44" s="52" t="s">
        <v>154</v>
      </c>
    </row>
    <row r="45" spans="1:8" ht="16.5" customHeight="1" x14ac:dyDescent="0.3">
      <c r="A45" s="51" t="s">
        <v>155</v>
      </c>
      <c r="B45" s="51" t="s">
        <v>156</v>
      </c>
      <c r="C45" s="51" t="s">
        <v>47</v>
      </c>
      <c r="D45" s="51" t="s">
        <v>42</v>
      </c>
      <c r="E45" s="51" t="s">
        <v>43</v>
      </c>
      <c r="F45" s="50" t="s">
        <v>721</v>
      </c>
      <c r="G45" s="52" t="s">
        <v>157</v>
      </c>
      <c r="H45" s="52" t="s">
        <v>158</v>
      </c>
    </row>
    <row r="46" spans="1:8" ht="16.5" customHeight="1" x14ac:dyDescent="0.3">
      <c r="A46" s="51" t="s">
        <v>159</v>
      </c>
      <c r="B46" s="51" t="s">
        <v>160</v>
      </c>
      <c r="C46" s="51" t="s">
        <v>47</v>
      </c>
      <c r="D46" s="51" t="s">
        <v>42</v>
      </c>
      <c r="E46" s="51" t="s">
        <v>43</v>
      </c>
      <c r="F46" s="52" t="s">
        <v>143</v>
      </c>
      <c r="G46" s="52" t="s">
        <v>43</v>
      </c>
      <c r="H46" s="52" t="s">
        <v>161</v>
      </c>
    </row>
    <row r="47" spans="1:8" ht="16.5" customHeight="1" x14ac:dyDescent="0.3">
      <c r="A47" s="51" t="s">
        <v>162</v>
      </c>
      <c r="B47" s="51" t="s">
        <v>163</v>
      </c>
      <c r="C47" s="51" t="s">
        <v>47</v>
      </c>
      <c r="D47" s="51" t="s">
        <v>65</v>
      </c>
      <c r="E47" s="51" t="s">
        <v>54</v>
      </c>
      <c r="F47" s="50" t="s">
        <v>730</v>
      </c>
      <c r="G47" s="52" t="s">
        <v>157</v>
      </c>
      <c r="H47" s="52" t="s">
        <v>164</v>
      </c>
    </row>
    <row r="48" spans="1:8" ht="16.5" customHeight="1" x14ac:dyDescent="0.3">
      <c r="A48" s="51" t="s">
        <v>165</v>
      </c>
      <c r="B48" s="51" t="s">
        <v>166</v>
      </c>
      <c r="C48" s="51" t="s">
        <v>47</v>
      </c>
      <c r="D48" s="51" t="s">
        <v>53</v>
      </c>
      <c r="E48" s="51" t="s">
        <v>54</v>
      </c>
      <c r="F48" s="52" t="s">
        <v>143</v>
      </c>
      <c r="G48" s="52" t="s">
        <v>167</v>
      </c>
      <c r="H48" s="52" t="s">
        <v>168</v>
      </c>
    </row>
    <row r="49" spans="1:8" ht="16.5" customHeight="1" x14ac:dyDescent="0.3">
      <c r="A49" s="61"/>
      <c r="B49" s="62"/>
      <c r="C49" s="63"/>
      <c r="D49" s="63"/>
      <c r="E49" s="63"/>
      <c r="F49" s="62"/>
      <c r="G49" s="62"/>
      <c r="H49" s="64"/>
    </row>
    <row r="50" spans="1:8" ht="20.25" x14ac:dyDescent="0.3">
      <c r="A50" s="173" t="s">
        <v>169</v>
      </c>
      <c r="B50" s="174"/>
      <c r="C50" s="175"/>
      <c r="D50" s="175"/>
      <c r="E50" s="175"/>
      <c r="F50" s="174"/>
      <c r="G50" s="174"/>
      <c r="H50" s="176"/>
    </row>
    <row r="51" spans="1:8" ht="16.5" customHeight="1" x14ac:dyDescent="0.3">
      <c r="A51" s="49" t="s">
        <v>31</v>
      </c>
      <c r="B51" s="57" t="s">
        <v>32</v>
      </c>
      <c r="C51" s="57" t="s">
        <v>33</v>
      </c>
      <c r="D51" s="57" t="s">
        <v>34</v>
      </c>
      <c r="E51" s="57" t="s">
        <v>35</v>
      </c>
      <c r="F51" s="57" t="s">
        <v>36</v>
      </c>
      <c r="G51" s="57" t="s">
        <v>37</v>
      </c>
      <c r="H51" s="57" t="s">
        <v>38</v>
      </c>
    </row>
    <row r="52" spans="1:8" ht="16.5" customHeight="1" x14ac:dyDescent="0.3">
      <c r="A52" s="51" t="s">
        <v>170</v>
      </c>
      <c r="B52" s="51" t="s">
        <v>171</v>
      </c>
      <c r="C52" s="51" t="s">
        <v>41</v>
      </c>
      <c r="D52" s="51" t="s">
        <v>42</v>
      </c>
      <c r="E52" s="51" t="s">
        <v>43</v>
      </c>
      <c r="F52" s="51" t="s">
        <v>172</v>
      </c>
      <c r="G52" s="51" t="s">
        <v>173</v>
      </c>
      <c r="H52" s="51" t="s">
        <v>174</v>
      </c>
    </row>
    <row r="53" spans="1:8" ht="16.5" customHeight="1" x14ac:dyDescent="0.3">
      <c r="A53" s="51" t="s">
        <v>175</v>
      </c>
      <c r="B53" s="51" t="s">
        <v>176</v>
      </c>
      <c r="C53" s="51" t="s">
        <v>41</v>
      </c>
      <c r="D53" s="51" t="s">
        <v>42</v>
      </c>
      <c r="E53" s="51" t="s">
        <v>43</v>
      </c>
      <c r="F53" s="52" t="s">
        <v>177</v>
      </c>
      <c r="G53" s="52" t="s">
        <v>173</v>
      </c>
      <c r="H53" s="52" t="s">
        <v>178</v>
      </c>
    </row>
    <row r="54" spans="1:8" ht="16.5" customHeight="1" x14ac:dyDescent="0.3">
      <c r="A54" s="65"/>
      <c r="B54" s="66"/>
      <c r="C54" s="66"/>
      <c r="D54" s="66"/>
      <c r="E54" s="66"/>
      <c r="F54" s="67"/>
      <c r="G54" s="67"/>
      <c r="H54" s="68"/>
    </row>
    <row r="55" spans="1:8" ht="20.25" x14ac:dyDescent="0.3">
      <c r="A55" s="177" t="s">
        <v>179</v>
      </c>
      <c r="B55" s="178"/>
      <c r="C55" s="178"/>
      <c r="D55" s="178"/>
      <c r="E55" s="178"/>
      <c r="F55" s="178"/>
      <c r="G55" s="178"/>
      <c r="H55" s="179"/>
    </row>
    <row r="56" spans="1:8" ht="16.5" customHeight="1" x14ac:dyDescent="0.3">
      <c r="A56" s="49" t="s">
        <v>31</v>
      </c>
      <c r="B56" s="49" t="s">
        <v>32</v>
      </c>
      <c r="C56" s="49" t="s">
        <v>33</v>
      </c>
      <c r="D56" s="49" t="s">
        <v>34</v>
      </c>
      <c r="E56" s="49" t="s">
        <v>35</v>
      </c>
      <c r="F56" s="49" t="s">
        <v>36</v>
      </c>
      <c r="G56" s="49" t="s">
        <v>37</v>
      </c>
      <c r="H56" s="49" t="s">
        <v>38</v>
      </c>
    </row>
    <row r="57" spans="1:8" ht="16.5" customHeight="1" x14ac:dyDescent="0.3">
      <c r="A57" s="51" t="s">
        <v>180</v>
      </c>
      <c r="B57" s="51" t="s">
        <v>181</v>
      </c>
      <c r="C57" s="51" t="s">
        <v>41</v>
      </c>
      <c r="D57" s="51" t="s">
        <v>42</v>
      </c>
      <c r="E57" s="51" t="s">
        <v>43</v>
      </c>
      <c r="F57" s="69" t="s">
        <v>182</v>
      </c>
      <c r="G57" s="69" t="s">
        <v>119</v>
      </c>
      <c r="H57" s="69" t="s">
        <v>183</v>
      </c>
    </row>
    <row r="58" spans="1:8" ht="16.5" customHeight="1" x14ac:dyDescent="0.3">
      <c r="A58" s="51" t="s">
        <v>39</v>
      </c>
      <c r="B58" s="51" t="s">
        <v>40</v>
      </c>
      <c r="C58" s="51" t="s">
        <v>41</v>
      </c>
      <c r="D58" s="51" t="s">
        <v>42</v>
      </c>
      <c r="E58" s="51" t="s">
        <v>43</v>
      </c>
      <c r="F58" s="51" t="s">
        <v>43</v>
      </c>
      <c r="G58" s="51" t="s">
        <v>184</v>
      </c>
      <c r="H58" s="51" t="s">
        <v>185</v>
      </c>
    </row>
    <row r="59" spans="1:8" ht="16.5" customHeight="1" x14ac:dyDescent="0.3">
      <c r="A59" s="51" t="s">
        <v>186</v>
      </c>
      <c r="B59" s="51" t="s">
        <v>187</v>
      </c>
      <c r="C59" s="51" t="s">
        <v>41</v>
      </c>
      <c r="D59" s="51" t="s">
        <v>42</v>
      </c>
      <c r="E59" s="51" t="s">
        <v>43</v>
      </c>
      <c r="F59" s="52" t="s">
        <v>43</v>
      </c>
      <c r="G59" s="52" t="s">
        <v>43</v>
      </c>
      <c r="H59" s="52" t="s">
        <v>188</v>
      </c>
    </row>
    <row r="60" spans="1:8" ht="16.5" customHeight="1" x14ac:dyDescent="0.3">
      <c r="A60" s="51" t="s">
        <v>189</v>
      </c>
      <c r="B60" s="51" t="s">
        <v>190</v>
      </c>
      <c r="C60" s="51" t="s">
        <v>47</v>
      </c>
      <c r="D60" s="51" t="s">
        <v>42</v>
      </c>
      <c r="E60" s="51" t="s">
        <v>191</v>
      </c>
      <c r="F60" s="52" t="s">
        <v>192</v>
      </c>
      <c r="G60" s="52" t="s">
        <v>193</v>
      </c>
      <c r="H60" s="52" t="s">
        <v>194</v>
      </c>
    </row>
    <row r="61" spans="1:8" ht="16.5" customHeight="1" x14ac:dyDescent="0.3">
      <c r="A61" s="51" t="s">
        <v>195</v>
      </c>
      <c r="B61" s="51" t="s">
        <v>196</v>
      </c>
      <c r="C61" s="51" t="s">
        <v>47</v>
      </c>
      <c r="D61" s="51" t="s">
        <v>42</v>
      </c>
      <c r="E61" s="51" t="s">
        <v>191</v>
      </c>
      <c r="F61" s="52" t="s">
        <v>197</v>
      </c>
      <c r="G61" s="52" t="s">
        <v>198</v>
      </c>
      <c r="H61" s="52" t="s">
        <v>199</v>
      </c>
    </row>
    <row r="62" spans="1:8" ht="28.7" customHeight="1" x14ac:dyDescent="0.3">
      <c r="A62" s="51" t="s">
        <v>200</v>
      </c>
      <c r="B62" s="51" t="s">
        <v>201</v>
      </c>
      <c r="C62" s="51" t="s">
        <v>47</v>
      </c>
      <c r="D62" s="51" t="s">
        <v>53</v>
      </c>
      <c r="E62" s="51" t="s">
        <v>54</v>
      </c>
      <c r="F62" s="50" t="s">
        <v>202</v>
      </c>
      <c r="G62" s="52" t="s">
        <v>203</v>
      </c>
      <c r="H62" s="52" t="s">
        <v>204</v>
      </c>
    </row>
    <row r="63" spans="1:8" ht="16.5" customHeight="1" x14ac:dyDescent="0.3">
      <c r="A63" s="51" t="s">
        <v>205</v>
      </c>
      <c r="B63" s="51" t="s">
        <v>206</v>
      </c>
      <c r="C63" s="51" t="s">
        <v>47</v>
      </c>
      <c r="D63" s="51" t="s">
        <v>53</v>
      </c>
      <c r="E63" s="51" t="s">
        <v>54</v>
      </c>
      <c r="F63" s="52" t="s">
        <v>85</v>
      </c>
      <c r="G63" s="52" t="s">
        <v>207</v>
      </c>
      <c r="H63" s="52" t="s">
        <v>87</v>
      </c>
    </row>
    <row r="64" spans="1:8" ht="16.5" customHeight="1" x14ac:dyDescent="0.3">
      <c r="A64" s="51" t="s">
        <v>88</v>
      </c>
      <c r="B64" s="51" t="s">
        <v>208</v>
      </c>
      <c r="C64" s="51" t="s">
        <v>47</v>
      </c>
      <c r="D64" s="51" t="s">
        <v>53</v>
      </c>
      <c r="E64" s="51" t="s">
        <v>54</v>
      </c>
      <c r="F64" s="52" t="s">
        <v>90</v>
      </c>
      <c r="G64" s="52" t="s">
        <v>91</v>
      </c>
      <c r="H64" s="52" t="s">
        <v>209</v>
      </c>
    </row>
    <row r="65" spans="1:8" ht="16.5" customHeight="1" x14ac:dyDescent="0.3">
      <c r="A65" s="51" t="s">
        <v>210</v>
      </c>
      <c r="B65" s="51" t="s">
        <v>211</v>
      </c>
      <c r="C65" s="51" t="s">
        <v>47</v>
      </c>
      <c r="D65" s="51" t="s">
        <v>53</v>
      </c>
      <c r="E65" s="51" t="s">
        <v>54</v>
      </c>
      <c r="F65" s="52" t="s">
        <v>95</v>
      </c>
      <c r="G65" s="52" t="s">
        <v>96</v>
      </c>
      <c r="H65" s="52" t="s">
        <v>212</v>
      </c>
    </row>
    <row r="66" spans="1:8" ht="16.5" customHeight="1" x14ac:dyDescent="0.3">
      <c r="A66" s="59" t="s">
        <v>213</v>
      </c>
      <c r="B66" s="59" t="s">
        <v>214</v>
      </c>
      <c r="C66" s="59" t="s">
        <v>47</v>
      </c>
      <c r="D66" s="59" t="s">
        <v>42</v>
      </c>
      <c r="E66" s="59" t="s">
        <v>191</v>
      </c>
      <c r="F66" s="60" t="s">
        <v>215</v>
      </c>
      <c r="G66" s="60" t="s">
        <v>216</v>
      </c>
      <c r="H66" s="60" t="s">
        <v>217</v>
      </c>
    </row>
    <row r="67" spans="1:8" ht="16.5" customHeight="1" x14ac:dyDescent="0.3">
      <c r="A67" s="59" t="s">
        <v>218</v>
      </c>
      <c r="B67" s="59" t="s">
        <v>219</v>
      </c>
      <c r="C67" s="59" t="s">
        <v>220</v>
      </c>
      <c r="D67" s="59" t="s">
        <v>42</v>
      </c>
      <c r="E67" s="59" t="s">
        <v>43</v>
      </c>
      <c r="F67" s="60" t="s">
        <v>221</v>
      </c>
      <c r="G67" s="60" t="s">
        <v>43</v>
      </c>
      <c r="H67" s="60" t="s">
        <v>222</v>
      </c>
    </row>
    <row r="68" spans="1:8" ht="16.5" customHeight="1" x14ac:dyDescent="0.3">
      <c r="A68" s="51" t="s">
        <v>223</v>
      </c>
      <c r="B68" s="59" t="s">
        <v>411</v>
      </c>
      <c r="C68" s="59" t="s">
        <v>41</v>
      </c>
      <c r="D68" s="59" t="s">
        <v>42</v>
      </c>
      <c r="E68" s="59" t="s">
        <v>43</v>
      </c>
      <c r="F68" s="58" t="s">
        <v>725</v>
      </c>
      <c r="G68" s="60" t="s">
        <v>224</v>
      </c>
      <c r="H68" s="60" t="s">
        <v>225</v>
      </c>
    </row>
    <row r="69" spans="1:8" ht="28.7" customHeight="1" x14ac:dyDescent="0.3">
      <c r="A69" s="51" t="s">
        <v>226</v>
      </c>
      <c r="B69" s="51" t="s">
        <v>412</v>
      </c>
      <c r="C69" s="51" t="s">
        <v>41</v>
      </c>
      <c r="D69" s="51" t="s">
        <v>42</v>
      </c>
      <c r="E69" s="51" t="s">
        <v>227</v>
      </c>
      <c r="F69" s="130" t="s">
        <v>726</v>
      </c>
      <c r="G69" s="51" t="s">
        <v>224</v>
      </c>
      <c r="H69" s="51" t="s">
        <v>228</v>
      </c>
    </row>
    <row r="70" spans="1:8" ht="16.5" customHeight="1" x14ac:dyDescent="0.3">
      <c r="A70" s="65"/>
      <c r="B70" s="66"/>
      <c r="C70" s="66"/>
      <c r="D70" s="66"/>
      <c r="E70" s="66"/>
      <c r="F70" s="67"/>
      <c r="G70" s="67"/>
      <c r="H70" s="68"/>
    </row>
    <row r="71" spans="1:8" ht="20.25" x14ac:dyDescent="0.3">
      <c r="A71" s="177" t="s">
        <v>229</v>
      </c>
      <c r="B71" s="178"/>
      <c r="C71" s="178"/>
      <c r="D71" s="178"/>
      <c r="E71" s="178"/>
      <c r="F71" s="178"/>
      <c r="G71" s="178"/>
      <c r="H71" s="179"/>
    </row>
    <row r="72" spans="1:8" ht="16.5" customHeight="1" x14ac:dyDescent="0.3">
      <c r="A72" s="49" t="s">
        <v>31</v>
      </c>
      <c r="B72" s="49" t="s">
        <v>32</v>
      </c>
      <c r="C72" s="49" t="s">
        <v>33</v>
      </c>
      <c r="D72" s="49" t="s">
        <v>34</v>
      </c>
      <c r="E72" s="49" t="s">
        <v>35</v>
      </c>
      <c r="F72" s="49" t="s">
        <v>36</v>
      </c>
      <c r="G72" s="49" t="s">
        <v>37</v>
      </c>
      <c r="H72" s="49" t="s">
        <v>38</v>
      </c>
    </row>
    <row r="73" spans="1:8" ht="16.5" customHeight="1" x14ac:dyDescent="0.3">
      <c r="A73" s="51" t="s">
        <v>230</v>
      </c>
      <c r="B73" s="51" t="s">
        <v>231</v>
      </c>
      <c r="C73" s="51" t="s">
        <v>41</v>
      </c>
      <c r="D73" s="51" t="s">
        <v>42</v>
      </c>
      <c r="E73" s="51" t="s">
        <v>43</v>
      </c>
      <c r="F73" s="130" t="s">
        <v>670</v>
      </c>
      <c r="G73" s="69" t="s">
        <v>119</v>
      </c>
      <c r="H73" s="69" t="s">
        <v>232</v>
      </c>
    </row>
    <row r="74" spans="1:8" ht="16.5" customHeight="1" x14ac:dyDescent="0.3">
      <c r="A74" s="51" t="s">
        <v>233</v>
      </c>
      <c r="B74" s="51" t="s">
        <v>100</v>
      </c>
      <c r="C74" s="51" t="s">
        <v>41</v>
      </c>
      <c r="D74" s="51" t="s">
        <v>42</v>
      </c>
      <c r="E74" s="51" t="s">
        <v>43</v>
      </c>
      <c r="F74" s="51" t="s">
        <v>43</v>
      </c>
      <c r="G74" s="51" t="s">
        <v>234</v>
      </c>
      <c r="H74" s="51" t="s">
        <v>235</v>
      </c>
    </row>
    <row r="75" spans="1:8" ht="16.5" customHeight="1" x14ac:dyDescent="0.3">
      <c r="A75" s="51" t="s">
        <v>236</v>
      </c>
      <c r="B75" s="51" t="s">
        <v>237</v>
      </c>
      <c r="C75" s="51" t="s">
        <v>47</v>
      </c>
      <c r="D75" s="51" t="s">
        <v>42</v>
      </c>
      <c r="E75" s="51" t="s">
        <v>43</v>
      </c>
      <c r="F75" s="52" t="s">
        <v>238</v>
      </c>
      <c r="G75" s="52" t="s">
        <v>239</v>
      </c>
      <c r="H75" s="52" t="s">
        <v>240</v>
      </c>
    </row>
    <row r="76" spans="1:8" ht="16.5" customHeight="1" x14ac:dyDescent="0.3">
      <c r="A76" s="59" t="s">
        <v>241</v>
      </c>
      <c r="B76" s="59" t="s">
        <v>242</v>
      </c>
      <c r="C76" s="59" t="s">
        <v>47</v>
      </c>
      <c r="D76" s="59" t="s">
        <v>42</v>
      </c>
      <c r="E76" s="59" t="s">
        <v>43</v>
      </c>
      <c r="F76" s="60" t="s">
        <v>243</v>
      </c>
      <c r="G76" s="60" t="s">
        <v>244</v>
      </c>
      <c r="H76" s="60" t="s">
        <v>245</v>
      </c>
    </row>
    <row r="77" spans="1:8" ht="16.5" customHeight="1" x14ac:dyDescent="0.3">
      <c r="A77" s="59" t="s">
        <v>246</v>
      </c>
      <c r="B77" s="59" t="s">
        <v>247</v>
      </c>
      <c r="C77" s="59" t="s">
        <v>47</v>
      </c>
      <c r="D77" s="59" t="s">
        <v>42</v>
      </c>
      <c r="E77" s="59" t="s">
        <v>191</v>
      </c>
      <c r="F77" s="60" t="s">
        <v>248</v>
      </c>
      <c r="G77" s="60" t="s">
        <v>43</v>
      </c>
      <c r="H77" s="60" t="s">
        <v>249</v>
      </c>
    </row>
    <row r="78" spans="1:8" ht="16.5" customHeight="1" x14ac:dyDescent="0.3">
      <c r="A78" s="59" t="s">
        <v>5</v>
      </c>
      <c r="B78" s="59" t="s">
        <v>64</v>
      </c>
      <c r="C78" s="59" t="s">
        <v>41</v>
      </c>
      <c r="D78" s="59" t="s">
        <v>65</v>
      </c>
      <c r="E78" s="59" t="s">
        <v>54</v>
      </c>
      <c r="F78" s="60" t="s">
        <v>43</v>
      </c>
      <c r="G78" s="60" t="s">
        <v>43</v>
      </c>
      <c r="H78" s="60" t="s">
        <v>250</v>
      </c>
    </row>
    <row r="79" spans="1:8" ht="16.5" customHeight="1" x14ac:dyDescent="0.3">
      <c r="A79" s="70"/>
      <c r="B79" s="71"/>
      <c r="C79" s="71"/>
      <c r="D79" s="71"/>
      <c r="E79" s="71"/>
      <c r="F79" s="72"/>
      <c r="G79" s="72"/>
      <c r="H79" s="73"/>
    </row>
    <row r="80" spans="1:8" ht="16.5" customHeight="1" x14ac:dyDescent="0.3">
      <c r="A80" s="39"/>
      <c r="B80" s="39"/>
      <c r="C80" s="39"/>
      <c r="D80" s="39"/>
      <c r="E80" s="39"/>
      <c r="F80" s="38"/>
      <c r="G80" s="38"/>
      <c r="H80" s="38"/>
    </row>
    <row r="81" spans="1:8" x14ac:dyDescent="0.3">
      <c r="A81" s="40"/>
      <c r="B81" s="41"/>
      <c r="C81" s="41"/>
      <c r="D81" s="41"/>
      <c r="E81" s="41"/>
      <c r="F81" s="41"/>
      <c r="G81" s="41"/>
      <c r="H81" s="42"/>
    </row>
  </sheetData>
  <mergeCells count="9">
    <mergeCell ref="A42:H42"/>
    <mergeCell ref="A50:H50"/>
    <mergeCell ref="A55:H55"/>
    <mergeCell ref="A71:H71"/>
    <mergeCell ref="A1:H1"/>
    <mergeCell ref="A3:H3"/>
    <mergeCell ref="A12:H12"/>
    <mergeCell ref="A21:H21"/>
    <mergeCell ref="A29:H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74974822229687"/>
  </sheetPr>
  <dimension ref="A1:J43"/>
  <sheetViews>
    <sheetView workbookViewId="0"/>
  </sheetViews>
  <sheetFormatPr defaultRowHeight="16.5" x14ac:dyDescent="0.3"/>
  <cols>
    <col min="1" max="1" width="15.75" style="159" customWidth="1"/>
    <col min="2" max="2" width="9.5" style="159" customWidth="1"/>
    <col min="3" max="3" width="23" style="159" customWidth="1"/>
    <col min="4" max="6" width="33.125" style="162" customWidth="1"/>
    <col min="7" max="7" width="32.625" style="162" customWidth="1"/>
    <col min="8" max="8" width="33.125" style="162" customWidth="1"/>
    <col min="9" max="9" width="24" style="162" customWidth="1"/>
    <col min="10" max="10" width="25.625" style="161" customWidth="1"/>
    <col min="11" max="16384" width="9" style="161"/>
  </cols>
  <sheetData>
    <row r="1" spans="1:10" s="1" customFormat="1" ht="82.5" x14ac:dyDescent="0.3">
      <c r="A1" s="4" t="s">
        <v>39</v>
      </c>
      <c r="B1" s="4" t="s">
        <v>45</v>
      </c>
      <c r="C1" s="11" t="s">
        <v>709</v>
      </c>
      <c r="D1" s="4" t="s">
        <v>61</v>
      </c>
      <c r="E1" s="4" t="s">
        <v>251</v>
      </c>
      <c r="F1" s="4" t="s">
        <v>109</v>
      </c>
      <c r="G1" s="4" t="s">
        <v>233</v>
      </c>
      <c r="H1" s="4" t="s">
        <v>252</v>
      </c>
      <c r="I1" s="4" t="s">
        <v>253</v>
      </c>
      <c r="J1" s="4" t="s">
        <v>5</v>
      </c>
    </row>
    <row r="2" spans="1:10" s="32" customFormat="1" x14ac:dyDescent="0.3">
      <c r="A2" s="4" t="s">
        <v>40</v>
      </c>
      <c r="B2" s="4" t="s">
        <v>46</v>
      </c>
      <c r="C2" s="4" t="s">
        <v>58</v>
      </c>
      <c r="D2" s="4" t="s">
        <v>62</v>
      </c>
      <c r="E2" s="4" t="s">
        <v>107</v>
      </c>
      <c r="F2" s="4" t="s">
        <v>110</v>
      </c>
      <c r="G2" s="4" t="s">
        <v>100</v>
      </c>
      <c r="H2" s="4" t="s">
        <v>104</v>
      </c>
      <c r="I2" s="4" t="s">
        <v>113</v>
      </c>
      <c r="J2" s="4" t="s">
        <v>64</v>
      </c>
    </row>
    <row r="3" spans="1:10" s="1" customFormat="1" ht="33" customHeight="1" x14ac:dyDescent="0.3">
      <c r="A3" s="8" t="s">
        <v>254</v>
      </c>
      <c r="B3" s="8">
        <v>1</v>
      </c>
      <c r="C3" s="12">
        <v>2</v>
      </c>
      <c r="D3" s="15" t="s">
        <v>255</v>
      </c>
      <c r="E3" s="15" t="s">
        <v>256</v>
      </c>
      <c r="F3" s="15" t="s">
        <v>257</v>
      </c>
      <c r="G3" s="15" t="s">
        <v>258</v>
      </c>
      <c r="H3" s="15" t="s">
        <v>259</v>
      </c>
      <c r="I3" s="8" t="s">
        <v>731</v>
      </c>
      <c r="J3" s="6"/>
    </row>
    <row r="4" spans="1:10" s="1" customFormat="1" ht="33" customHeight="1" x14ac:dyDescent="0.3">
      <c r="A4" s="8" t="s">
        <v>260</v>
      </c>
      <c r="B4" s="8">
        <v>1</v>
      </c>
      <c r="C4" s="12">
        <v>1</v>
      </c>
      <c r="D4" s="15" t="s">
        <v>261</v>
      </c>
      <c r="E4" s="15" t="s">
        <v>262</v>
      </c>
      <c r="F4" s="15" t="s">
        <v>263</v>
      </c>
      <c r="G4" s="15" t="s">
        <v>264</v>
      </c>
      <c r="H4" s="15" t="s">
        <v>265</v>
      </c>
      <c r="I4" s="8" t="s">
        <v>732</v>
      </c>
      <c r="J4" s="6"/>
    </row>
    <row r="5" spans="1:10" s="1" customFormat="1" ht="33" customHeight="1" x14ac:dyDescent="0.3">
      <c r="A5" s="8" t="s">
        <v>266</v>
      </c>
      <c r="B5" s="8">
        <v>1</v>
      </c>
      <c r="C5" s="12">
        <v>0</v>
      </c>
      <c r="D5" s="15" t="s">
        <v>267</v>
      </c>
      <c r="E5" s="15" t="s">
        <v>268</v>
      </c>
      <c r="F5" s="15" t="s">
        <v>269</v>
      </c>
      <c r="G5" s="15" t="s">
        <v>270</v>
      </c>
      <c r="H5" s="15" t="s">
        <v>271</v>
      </c>
      <c r="I5" s="8" t="s">
        <v>733</v>
      </c>
      <c r="J5" s="6"/>
    </row>
    <row r="6" spans="1:10" s="1" customFormat="1" ht="33" customHeight="1" x14ac:dyDescent="0.3">
      <c r="A6" s="8" t="s">
        <v>272</v>
      </c>
      <c r="B6" s="8">
        <v>1</v>
      </c>
      <c r="C6" s="12">
        <v>3</v>
      </c>
      <c r="D6" s="15" t="s">
        <v>273</v>
      </c>
      <c r="E6" s="15" t="s">
        <v>274</v>
      </c>
      <c r="F6" s="15" t="s">
        <v>275</v>
      </c>
      <c r="G6" s="15" t="s">
        <v>276</v>
      </c>
      <c r="H6" s="15" t="s">
        <v>277</v>
      </c>
      <c r="I6" s="8" t="s">
        <v>734</v>
      </c>
      <c r="J6" s="6"/>
    </row>
    <row r="7" spans="1:10" s="1" customFormat="1" ht="33" customHeight="1" x14ac:dyDescent="0.3">
      <c r="A7" s="8" t="s">
        <v>712</v>
      </c>
      <c r="B7" s="154">
        <v>1</v>
      </c>
      <c r="C7" s="155">
        <v>4</v>
      </c>
      <c r="D7" s="156" t="s">
        <v>713</v>
      </c>
      <c r="E7" s="156" t="s">
        <v>715</v>
      </c>
      <c r="F7" s="156" t="s">
        <v>716</v>
      </c>
      <c r="G7" s="156" t="s">
        <v>714</v>
      </c>
      <c r="H7" s="156" t="s">
        <v>717</v>
      </c>
      <c r="I7" s="8" t="s">
        <v>735</v>
      </c>
      <c r="J7" s="157"/>
    </row>
    <row r="8" spans="1:10" s="1" customFormat="1" ht="33" customHeight="1" x14ac:dyDescent="0.3">
      <c r="A8" s="136" t="s">
        <v>278</v>
      </c>
      <c r="B8" s="136">
        <v>4</v>
      </c>
      <c r="C8" s="137">
        <v>0</v>
      </c>
      <c r="D8" s="139" t="s">
        <v>279</v>
      </c>
      <c r="E8" s="139" t="s">
        <v>280</v>
      </c>
      <c r="F8" s="139" t="s">
        <v>281</v>
      </c>
      <c r="G8" s="139" t="s">
        <v>282</v>
      </c>
      <c r="H8" s="139" t="s">
        <v>283</v>
      </c>
      <c r="I8" s="136" t="s">
        <v>736</v>
      </c>
      <c r="J8" s="140"/>
    </row>
    <row r="9" spans="1:10" s="1" customFormat="1" ht="33" customHeight="1" x14ac:dyDescent="0.3">
      <c r="A9" s="136" t="s">
        <v>284</v>
      </c>
      <c r="B9" s="141">
        <v>4</v>
      </c>
      <c r="C9" s="142">
        <v>2</v>
      </c>
      <c r="D9" s="135" t="s">
        <v>285</v>
      </c>
      <c r="E9" s="135" t="s">
        <v>286</v>
      </c>
      <c r="F9" s="135" t="s">
        <v>263</v>
      </c>
      <c r="G9" s="135" t="s">
        <v>287</v>
      </c>
      <c r="H9" s="135" t="s">
        <v>288</v>
      </c>
      <c r="I9" s="136" t="s">
        <v>737</v>
      </c>
      <c r="J9" s="144"/>
    </row>
    <row r="10" spans="1:10" s="1" customFormat="1" ht="33" customHeight="1" x14ac:dyDescent="0.3">
      <c r="A10" s="136" t="s">
        <v>289</v>
      </c>
      <c r="B10" s="141">
        <v>4</v>
      </c>
      <c r="C10" s="142">
        <v>1</v>
      </c>
      <c r="D10" s="135" t="s">
        <v>290</v>
      </c>
      <c r="E10" s="135" t="s">
        <v>291</v>
      </c>
      <c r="F10" s="135" t="s">
        <v>292</v>
      </c>
      <c r="G10" s="135" t="s">
        <v>293</v>
      </c>
      <c r="H10" s="135" t="s">
        <v>294</v>
      </c>
      <c r="I10" s="136" t="s">
        <v>738</v>
      </c>
      <c r="J10" s="144"/>
    </row>
    <row r="11" spans="1:10" s="1" customFormat="1" ht="33" customHeight="1" x14ac:dyDescent="0.3">
      <c r="A11" s="136" t="s">
        <v>295</v>
      </c>
      <c r="B11" s="141">
        <v>4</v>
      </c>
      <c r="C11" s="142">
        <v>3</v>
      </c>
      <c r="D11" s="135" t="s">
        <v>296</v>
      </c>
      <c r="E11" s="135" t="s">
        <v>297</v>
      </c>
      <c r="F11" s="135" t="s">
        <v>298</v>
      </c>
      <c r="G11" s="135" t="s">
        <v>299</v>
      </c>
      <c r="H11" s="135" t="s">
        <v>300</v>
      </c>
      <c r="I11" s="136" t="s">
        <v>739</v>
      </c>
      <c r="J11" s="144"/>
    </row>
    <row r="12" spans="1:10" s="1" customFormat="1" ht="33" customHeight="1" x14ac:dyDescent="0.3">
      <c r="A12" s="136" t="s">
        <v>301</v>
      </c>
      <c r="B12" s="141">
        <v>4</v>
      </c>
      <c r="C12" s="142">
        <v>0</v>
      </c>
      <c r="D12" s="135" t="s">
        <v>302</v>
      </c>
      <c r="E12" s="135" t="s">
        <v>303</v>
      </c>
      <c r="F12" s="135" t="s">
        <v>304</v>
      </c>
      <c r="G12" s="135" t="s">
        <v>305</v>
      </c>
      <c r="H12" s="135" t="s">
        <v>306</v>
      </c>
      <c r="I12" s="136" t="s">
        <v>740</v>
      </c>
      <c r="J12" s="144"/>
    </row>
    <row r="13" spans="1:10" s="84" customFormat="1" x14ac:dyDescent="0.3"/>
    <row r="14" spans="1:10" x14ac:dyDescent="0.3">
      <c r="A14" s="158"/>
      <c r="C14" s="158"/>
      <c r="D14" s="160"/>
      <c r="E14" s="160"/>
      <c r="F14" s="160"/>
      <c r="G14" s="160"/>
      <c r="H14" s="160"/>
      <c r="I14" s="160"/>
      <c r="J14" s="159"/>
    </row>
    <row r="15" spans="1:10" x14ac:dyDescent="0.3">
      <c r="A15" s="158"/>
      <c r="C15" s="158"/>
      <c r="D15" s="160"/>
      <c r="E15" s="160"/>
      <c r="F15" s="160"/>
      <c r="G15" s="160"/>
      <c r="H15" s="160"/>
      <c r="I15" s="160"/>
      <c r="J15" s="159"/>
    </row>
    <row r="16" spans="1:10" x14ac:dyDescent="0.3">
      <c r="A16" s="158"/>
      <c r="C16" s="158"/>
      <c r="D16" s="160"/>
      <c r="E16" s="160"/>
      <c r="F16" s="160"/>
      <c r="G16" s="160"/>
      <c r="H16" s="160"/>
      <c r="I16" s="160"/>
      <c r="J16" s="159"/>
    </row>
    <row r="17" spans="1:10" x14ac:dyDescent="0.3">
      <c r="A17" s="158"/>
      <c r="C17" s="158"/>
      <c r="D17" s="160"/>
      <c r="E17" s="160"/>
      <c r="F17" s="160"/>
      <c r="G17" s="160"/>
      <c r="H17" s="160"/>
      <c r="I17" s="160"/>
      <c r="J17" s="159"/>
    </row>
    <row r="18" spans="1:10" x14ac:dyDescent="0.3">
      <c r="A18" s="158"/>
      <c r="C18" s="158"/>
      <c r="D18" s="160"/>
      <c r="E18" s="160"/>
      <c r="F18" s="160"/>
      <c r="G18" s="160"/>
      <c r="H18" s="160"/>
      <c r="I18" s="160"/>
      <c r="J18" s="159"/>
    </row>
    <row r="19" spans="1:10" x14ac:dyDescent="0.3">
      <c r="A19" s="158"/>
      <c r="C19" s="158"/>
      <c r="D19" s="160"/>
      <c r="E19" s="160"/>
      <c r="F19" s="160"/>
      <c r="G19" s="160"/>
      <c r="H19" s="160"/>
      <c r="I19" s="160"/>
      <c r="J19" s="159"/>
    </row>
    <row r="20" spans="1:10" x14ac:dyDescent="0.3">
      <c r="A20" s="158"/>
      <c r="C20" s="158"/>
      <c r="D20" s="160"/>
      <c r="E20" s="160"/>
      <c r="F20" s="160"/>
      <c r="G20" s="160"/>
      <c r="H20" s="160"/>
      <c r="I20" s="160"/>
      <c r="J20" s="159"/>
    </row>
    <row r="21" spans="1:10" x14ac:dyDescent="0.3">
      <c r="A21" s="158"/>
      <c r="C21" s="158"/>
      <c r="D21" s="160"/>
      <c r="E21" s="160"/>
      <c r="F21" s="160"/>
      <c r="G21" s="160"/>
      <c r="H21" s="160"/>
      <c r="I21" s="160"/>
      <c r="J21" s="159"/>
    </row>
    <row r="22" spans="1:10" x14ac:dyDescent="0.3">
      <c r="A22" s="158"/>
      <c r="C22" s="158"/>
      <c r="D22" s="160"/>
      <c r="E22" s="160"/>
      <c r="F22" s="160"/>
      <c r="G22" s="160"/>
      <c r="H22" s="160"/>
      <c r="I22" s="160"/>
      <c r="J22" s="159"/>
    </row>
    <row r="23" spans="1:10" x14ac:dyDescent="0.3">
      <c r="A23" s="158"/>
      <c r="C23" s="158"/>
      <c r="D23" s="160"/>
      <c r="E23" s="160"/>
      <c r="F23" s="160"/>
      <c r="G23" s="160"/>
      <c r="H23" s="160"/>
      <c r="I23" s="160"/>
      <c r="J23" s="159"/>
    </row>
    <row r="24" spans="1:10" x14ac:dyDescent="0.3">
      <c r="A24" s="158"/>
      <c r="C24" s="158"/>
      <c r="D24" s="160"/>
      <c r="E24" s="160"/>
      <c r="F24" s="160"/>
      <c r="G24" s="160"/>
      <c r="H24" s="160"/>
      <c r="I24" s="160"/>
      <c r="J24" s="159"/>
    </row>
    <row r="25" spans="1:10" x14ac:dyDescent="0.3">
      <c r="A25" s="158"/>
      <c r="C25" s="158"/>
      <c r="D25" s="160"/>
      <c r="E25" s="160"/>
      <c r="F25" s="160"/>
      <c r="G25" s="160"/>
      <c r="H25" s="160"/>
      <c r="I25" s="160"/>
      <c r="J25" s="159"/>
    </row>
    <row r="26" spans="1:10" x14ac:dyDescent="0.3">
      <c r="A26" s="158"/>
      <c r="C26" s="158"/>
      <c r="D26" s="160"/>
      <c r="E26" s="160"/>
      <c r="F26" s="160"/>
      <c r="G26" s="160"/>
      <c r="H26" s="160"/>
      <c r="I26" s="160"/>
      <c r="J26" s="159"/>
    </row>
    <row r="27" spans="1:10" x14ac:dyDescent="0.3">
      <c r="A27" s="158"/>
      <c r="C27" s="158"/>
      <c r="D27" s="160"/>
      <c r="E27" s="160"/>
      <c r="F27" s="160"/>
      <c r="G27" s="160"/>
      <c r="H27" s="160"/>
      <c r="I27" s="160"/>
      <c r="J27" s="159"/>
    </row>
    <row r="28" spans="1:10" x14ac:dyDescent="0.3">
      <c r="A28" s="158"/>
      <c r="C28" s="158"/>
      <c r="D28" s="160"/>
      <c r="E28" s="160"/>
      <c r="F28" s="160"/>
      <c r="G28" s="160"/>
      <c r="H28" s="160"/>
      <c r="I28" s="160"/>
      <c r="J28" s="159"/>
    </row>
    <row r="29" spans="1:10" x14ac:dyDescent="0.3">
      <c r="A29" s="158"/>
      <c r="C29" s="158"/>
      <c r="D29" s="160"/>
      <c r="E29" s="160"/>
      <c r="F29" s="160"/>
      <c r="G29" s="160"/>
      <c r="H29" s="160"/>
      <c r="I29" s="160"/>
      <c r="J29" s="159"/>
    </row>
    <row r="30" spans="1:10" x14ac:dyDescent="0.3">
      <c r="A30" s="158"/>
      <c r="C30" s="158"/>
      <c r="D30" s="160"/>
      <c r="E30" s="160"/>
      <c r="F30" s="160"/>
      <c r="G30" s="160"/>
      <c r="H30" s="160"/>
      <c r="I30" s="160"/>
      <c r="J30" s="159"/>
    </row>
    <row r="31" spans="1:10" x14ac:dyDescent="0.3">
      <c r="A31" s="158"/>
      <c r="C31" s="158"/>
      <c r="D31" s="160"/>
      <c r="E31" s="160"/>
      <c r="F31" s="160"/>
      <c r="G31" s="160"/>
      <c r="H31" s="160"/>
      <c r="I31" s="160"/>
      <c r="J31" s="159"/>
    </row>
    <row r="32" spans="1:10" x14ac:dyDescent="0.3">
      <c r="A32" s="158"/>
      <c r="C32" s="158"/>
      <c r="D32" s="160"/>
      <c r="E32" s="160"/>
      <c r="F32" s="160"/>
      <c r="G32" s="160"/>
      <c r="H32" s="160"/>
      <c r="I32" s="160"/>
      <c r="J32" s="159"/>
    </row>
    <row r="33" spans="1:10" x14ac:dyDescent="0.3">
      <c r="A33" s="158"/>
      <c r="C33" s="158"/>
      <c r="D33" s="160"/>
      <c r="E33" s="160"/>
      <c r="F33" s="160"/>
      <c r="G33" s="160"/>
      <c r="H33" s="160"/>
      <c r="I33" s="160"/>
      <c r="J33" s="159"/>
    </row>
    <row r="34" spans="1:10" x14ac:dyDescent="0.3">
      <c r="A34" s="158"/>
      <c r="C34" s="158"/>
      <c r="D34" s="160"/>
      <c r="E34" s="160"/>
      <c r="F34" s="160"/>
      <c r="G34" s="160"/>
      <c r="H34" s="160"/>
      <c r="I34" s="160"/>
      <c r="J34" s="159"/>
    </row>
    <row r="35" spans="1:10" x14ac:dyDescent="0.3">
      <c r="A35" s="158"/>
      <c r="C35" s="158"/>
      <c r="D35" s="160"/>
      <c r="E35" s="160"/>
      <c r="F35" s="160"/>
      <c r="G35" s="160"/>
      <c r="H35" s="160"/>
      <c r="I35" s="160"/>
      <c r="J35" s="159"/>
    </row>
    <row r="36" spans="1:10" x14ac:dyDescent="0.3">
      <c r="A36" s="158"/>
      <c r="C36" s="158"/>
      <c r="D36" s="160"/>
      <c r="E36" s="160"/>
      <c r="F36" s="160"/>
      <c r="G36" s="160"/>
      <c r="H36" s="160"/>
      <c r="I36" s="160"/>
      <c r="J36" s="159"/>
    </row>
    <row r="37" spans="1:10" x14ac:dyDescent="0.3">
      <c r="A37" s="158"/>
      <c r="C37" s="158"/>
      <c r="D37" s="160"/>
      <c r="E37" s="160"/>
      <c r="F37" s="160"/>
      <c r="G37" s="160"/>
      <c r="H37" s="160"/>
      <c r="I37" s="160"/>
      <c r="J37" s="159"/>
    </row>
    <row r="38" spans="1:10" x14ac:dyDescent="0.3">
      <c r="A38" s="158"/>
      <c r="C38" s="158"/>
      <c r="D38" s="160"/>
      <c r="E38" s="160"/>
      <c r="F38" s="160"/>
      <c r="G38" s="160"/>
      <c r="H38" s="160"/>
      <c r="I38" s="160"/>
      <c r="J38" s="159"/>
    </row>
    <row r="39" spans="1:10" x14ac:dyDescent="0.3">
      <c r="A39" s="158"/>
      <c r="C39" s="158"/>
      <c r="D39" s="160"/>
      <c r="E39" s="160"/>
      <c r="F39" s="160"/>
      <c r="G39" s="160"/>
      <c r="H39" s="160"/>
      <c r="I39" s="160"/>
      <c r="J39" s="159"/>
    </row>
    <row r="40" spans="1:10" x14ac:dyDescent="0.3">
      <c r="A40" s="158"/>
      <c r="C40" s="158"/>
      <c r="D40" s="160"/>
      <c r="E40" s="160"/>
      <c r="F40" s="160"/>
      <c r="G40" s="160"/>
      <c r="H40" s="160"/>
      <c r="I40" s="160"/>
      <c r="J40" s="159"/>
    </row>
    <row r="41" spans="1:10" x14ac:dyDescent="0.3">
      <c r="A41" s="158"/>
      <c r="C41" s="158"/>
      <c r="D41" s="160"/>
      <c r="E41" s="160"/>
      <c r="F41" s="160"/>
      <c r="G41" s="160"/>
      <c r="H41" s="160"/>
      <c r="I41" s="160"/>
      <c r="J41" s="159"/>
    </row>
    <row r="42" spans="1:10" x14ac:dyDescent="0.3">
      <c r="A42" s="158"/>
      <c r="C42" s="158"/>
      <c r="D42" s="160"/>
      <c r="E42" s="160"/>
      <c r="F42" s="160"/>
      <c r="G42" s="160"/>
      <c r="H42" s="160"/>
      <c r="I42" s="160"/>
      <c r="J42" s="159"/>
    </row>
    <row r="43" spans="1:10" x14ac:dyDescent="0.3">
      <c r="A43" s="158"/>
      <c r="C43" s="158"/>
      <c r="D43" s="160"/>
      <c r="E43" s="160"/>
      <c r="F43" s="160"/>
      <c r="G43" s="160"/>
      <c r="H43" s="160"/>
      <c r="I43" s="160"/>
      <c r="J43" s="159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74974822229687"/>
  </sheetPr>
  <dimension ref="A1:P22"/>
  <sheetViews>
    <sheetView topLeftCell="F1" workbookViewId="0">
      <selection activeCell="O4" sqref="O4"/>
    </sheetView>
  </sheetViews>
  <sheetFormatPr defaultRowHeight="16.5" x14ac:dyDescent="0.3"/>
  <cols>
    <col min="1" max="1" width="21.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9.125" style="6" customWidth="1"/>
    <col min="9" max="9" width="23" style="6" customWidth="1"/>
    <col min="10" max="10" width="33.125" style="10" customWidth="1"/>
    <col min="11" max="11" width="32.625" style="10" customWidth="1"/>
    <col min="12" max="14" width="33.125" style="10" customWidth="1"/>
    <col min="15" max="15" width="22.75" style="10" customWidth="1"/>
    <col min="16" max="16" width="26" style="9" customWidth="1"/>
    <col min="17" max="16384" width="9" style="1"/>
  </cols>
  <sheetData>
    <row r="1" spans="1:16" ht="99" x14ac:dyDescent="0.3">
      <c r="A1" s="4" t="s">
        <v>39</v>
      </c>
      <c r="B1" s="20" t="s">
        <v>307</v>
      </c>
      <c r="C1" s="24" t="s">
        <v>308</v>
      </c>
      <c r="D1" s="24" t="s">
        <v>309</v>
      </c>
      <c r="E1" s="24" t="s">
        <v>310</v>
      </c>
      <c r="F1" s="24" t="s">
        <v>311</v>
      </c>
      <c r="G1" s="20" t="s">
        <v>93</v>
      </c>
      <c r="H1" s="11" t="s">
        <v>51</v>
      </c>
      <c r="I1" s="11" t="s">
        <v>312</v>
      </c>
      <c r="J1" s="4" t="s">
        <v>61</v>
      </c>
      <c r="K1" s="4" t="s">
        <v>233</v>
      </c>
      <c r="L1" s="4" t="s">
        <v>252</v>
      </c>
      <c r="M1" s="4" t="s">
        <v>251</v>
      </c>
      <c r="N1" s="4" t="s">
        <v>109</v>
      </c>
      <c r="O1" s="4" t="s">
        <v>253</v>
      </c>
      <c r="P1" s="4" t="s">
        <v>5</v>
      </c>
    </row>
    <row r="2" spans="1:16" s="32" customFormat="1" ht="27" x14ac:dyDescent="0.3">
      <c r="A2" s="4" t="s">
        <v>40</v>
      </c>
      <c r="B2" s="21" t="s">
        <v>69</v>
      </c>
      <c r="C2" s="25" t="s">
        <v>74</v>
      </c>
      <c r="D2" s="25" t="s">
        <v>79</v>
      </c>
      <c r="E2" s="25" t="s">
        <v>84</v>
      </c>
      <c r="F2" s="25" t="s">
        <v>89</v>
      </c>
      <c r="G2" s="21" t="s">
        <v>94</v>
      </c>
      <c r="H2" s="4" t="s">
        <v>52</v>
      </c>
      <c r="I2" s="4" t="s">
        <v>58</v>
      </c>
      <c r="J2" s="4" t="s">
        <v>62</v>
      </c>
      <c r="K2" s="4" t="s">
        <v>100</v>
      </c>
      <c r="L2" s="4" t="s">
        <v>104</v>
      </c>
      <c r="M2" s="4" t="s">
        <v>107</v>
      </c>
      <c r="N2" s="4" t="s">
        <v>110</v>
      </c>
      <c r="O2" s="4" t="s">
        <v>113</v>
      </c>
      <c r="P2" s="4" t="s">
        <v>64</v>
      </c>
    </row>
    <row r="3" spans="1:16" ht="50.1" customHeight="1" x14ac:dyDescent="0.3">
      <c r="A3" s="8" t="s">
        <v>313</v>
      </c>
      <c r="B3" s="8">
        <v>0</v>
      </c>
      <c r="C3" s="17">
        <v>2</v>
      </c>
      <c r="D3" s="17"/>
      <c r="E3" s="17"/>
      <c r="F3" s="17">
        <v>0</v>
      </c>
      <c r="G3" s="17">
        <v>50</v>
      </c>
      <c r="H3" s="12" t="s">
        <v>314</v>
      </c>
      <c r="I3" s="12">
        <v>4</v>
      </c>
      <c r="J3" s="15" t="s">
        <v>315</v>
      </c>
      <c r="K3" s="15" t="s">
        <v>316</v>
      </c>
      <c r="L3" s="15" t="s">
        <v>317</v>
      </c>
      <c r="M3" s="15" t="s">
        <v>318</v>
      </c>
      <c r="N3" s="15" t="s">
        <v>319</v>
      </c>
      <c r="O3" s="8" t="s">
        <v>741</v>
      </c>
      <c r="P3" s="47"/>
    </row>
    <row r="4" spans="1:16" ht="33" x14ac:dyDescent="0.3">
      <c r="A4" s="8" t="s">
        <v>743</v>
      </c>
      <c r="B4" s="8">
        <v>2</v>
      </c>
      <c r="C4" s="17">
        <v>0</v>
      </c>
      <c r="D4" s="17"/>
      <c r="E4" s="17"/>
      <c r="F4" s="17">
        <v>0</v>
      </c>
      <c r="G4" s="17">
        <v>31</v>
      </c>
      <c r="H4" s="12" t="s">
        <v>757</v>
      </c>
      <c r="I4" s="12">
        <v>4</v>
      </c>
      <c r="J4" s="15" t="s">
        <v>758</v>
      </c>
      <c r="K4" s="125" t="s">
        <v>761</v>
      </c>
      <c r="L4" s="125" t="s">
        <v>762</v>
      </c>
      <c r="M4" s="15" t="s">
        <v>759</v>
      </c>
      <c r="N4" s="15" t="s">
        <v>760</v>
      </c>
      <c r="O4" s="8" t="s">
        <v>763</v>
      </c>
      <c r="P4" s="6"/>
    </row>
    <row r="5" spans="1:16" x14ac:dyDescent="0.3">
      <c r="A5" s="8"/>
      <c r="B5" s="8"/>
      <c r="C5" s="17"/>
      <c r="D5" s="17"/>
      <c r="E5" s="17"/>
      <c r="F5" s="17"/>
      <c r="G5" s="17"/>
      <c r="H5" s="12"/>
      <c r="I5" s="12"/>
      <c r="J5" s="15"/>
      <c r="K5" s="15"/>
      <c r="L5" s="15"/>
      <c r="M5" s="15"/>
      <c r="N5" s="15"/>
      <c r="O5" s="15"/>
      <c r="P5" s="6"/>
    </row>
    <row r="6" spans="1:16" x14ac:dyDescent="0.3">
      <c r="A6" s="8"/>
      <c r="B6" s="8"/>
      <c r="C6" s="17"/>
      <c r="D6" s="17"/>
      <c r="E6" s="17"/>
      <c r="F6" s="17"/>
      <c r="G6" s="17"/>
      <c r="H6" s="12"/>
      <c r="I6" s="12"/>
      <c r="J6" s="15"/>
      <c r="K6" s="15"/>
      <c r="L6" s="15"/>
      <c r="M6" s="15"/>
      <c r="N6" s="15"/>
      <c r="O6" s="15"/>
      <c r="P6" s="6"/>
    </row>
    <row r="7" spans="1:16" x14ac:dyDescent="0.3">
      <c r="A7" s="8"/>
      <c r="B7" s="8"/>
      <c r="C7" s="17"/>
      <c r="D7" s="17"/>
      <c r="E7" s="17"/>
      <c r="F7" s="17"/>
      <c r="G7" s="17"/>
      <c r="H7" s="12"/>
      <c r="I7" s="12"/>
      <c r="J7" s="15"/>
      <c r="K7" s="15"/>
      <c r="L7" s="15"/>
      <c r="M7" s="15"/>
      <c r="N7" s="15"/>
      <c r="O7" s="15"/>
      <c r="P7" s="6"/>
    </row>
    <row r="8" spans="1:16" x14ac:dyDescent="0.3">
      <c r="A8" s="8"/>
      <c r="B8" s="8"/>
      <c r="C8" s="17"/>
      <c r="D8" s="17"/>
      <c r="E8" s="17"/>
      <c r="F8" s="17"/>
      <c r="G8" s="17"/>
      <c r="H8" s="12"/>
      <c r="I8" s="12"/>
      <c r="J8" s="15"/>
      <c r="K8" s="15"/>
      <c r="L8" s="15"/>
      <c r="M8" s="15"/>
      <c r="N8" s="15"/>
      <c r="O8" s="15"/>
      <c r="P8" s="6"/>
    </row>
    <row r="9" spans="1:16" x14ac:dyDescent="0.3">
      <c r="A9" s="8"/>
      <c r="B9" s="8"/>
      <c r="C9" s="17"/>
      <c r="D9" s="17"/>
      <c r="E9" s="17"/>
      <c r="F9" s="17"/>
      <c r="G9" s="17"/>
      <c r="H9" s="12"/>
      <c r="I9" s="12"/>
      <c r="J9" s="15"/>
      <c r="K9" s="15"/>
      <c r="L9" s="15"/>
      <c r="M9" s="15"/>
      <c r="N9" s="15"/>
      <c r="O9" s="15"/>
      <c r="P9" s="6"/>
    </row>
    <row r="10" spans="1:16" x14ac:dyDescent="0.3">
      <c r="A10" s="8"/>
      <c r="B10" s="8"/>
      <c r="C10" s="17"/>
      <c r="D10" s="17"/>
      <c r="E10" s="17"/>
      <c r="F10" s="17"/>
      <c r="G10" s="17"/>
      <c r="H10" s="12"/>
      <c r="I10" s="12"/>
      <c r="J10" s="15"/>
      <c r="K10" s="15"/>
      <c r="L10" s="15"/>
      <c r="M10" s="15"/>
      <c r="N10" s="15"/>
      <c r="O10" s="15"/>
      <c r="P10" s="6"/>
    </row>
    <row r="11" spans="1:16" x14ac:dyDescent="0.3">
      <c r="A11" s="8"/>
      <c r="B11" s="8"/>
      <c r="C11" s="17"/>
      <c r="D11" s="17"/>
      <c r="E11" s="17"/>
      <c r="F11" s="17"/>
      <c r="G11" s="17"/>
      <c r="H11" s="12"/>
      <c r="I11" s="12"/>
      <c r="J11" s="15"/>
      <c r="K11" s="15"/>
      <c r="L11" s="15"/>
      <c r="M11" s="15"/>
      <c r="N11" s="15"/>
      <c r="O11" s="15"/>
      <c r="P11" s="6"/>
    </row>
    <row r="12" spans="1:16" x14ac:dyDescent="0.3">
      <c r="A12" s="8"/>
      <c r="B12" s="8"/>
      <c r="C12" s="17"/>
      <c r="D12" s="17"/>
      <c r="E12" s="17"/>
      <c r="F12" s="17"/>
      <c r="G12" s="17"/>
      <c r="H12" s="12"/>
      <c r="I12" s="12"/>
      <c r="J12" s="15"/>
      <c r="K12" s="15"/>
      <c r="L12" s="15"/>
      <c r="M12" s="15"/>
      <c r="N12" s="15"/>
      <c r="O12" s="15"/>
      <c r="P12" s="6"/>
    </row>
    <row r="13" spans="1:16" x14ac:dyDescent="0.3">
      <c r="A13" s="12"/>
      <c r="C13" s="17"/>
      <c r="D13" s="17"/>
      <c r="E13" s="17"/>
      <c r="F13" s="17"/>
      <c r="G13" s="17"/>
      <c r="H13" s="12"/>
      <c r="I13" s="12"/>
      <c r="J13" s="15"/>
      <c r="K13" s="15"/>
      <c r="L13" s="15"/>
      <c r="M13" s="15"/>
      <c r="N13" s="15"/>
      <c r="O13" s="15"/>
      <c r="P13" s="6"/>
    </row>
    <row r="14" spans="1:16" x14ac:dyDescent="0.3">
      <c r="A14" s="12"/>
      <c r="C14" s="17"/>
      <c r="D14" s="17"/>
      <c r="E14" s="17"/>
      <c r="F14" s="17"/>
      <c r="G14" s="17"/>
      <c r="H14" s="12"/>
      <c r="I14" s="12"/>
      <c r="J14" s="15"/>
      <c r="K14" s="15"/>
      <c r="L14" s="15"/>
      <c r="M14" s="15"/>
      <c r="N14" s="15"/>
      <c r="O14" s="15"/>
      <c r="P14" s="6"/>
    </row>
    <row r="15" spans="1:16" x14ac:dyDescent="0.3">
      <c r="A15" s="12"/>
      <c r="C15" s="17"/>
      <c r="D15" s="17"/>
      <c r="E15" s="17"/>
      <c r="F15" s="17"/>
      <c r="G15" s="17"/>
      <c r="H15" s="12"/>
      <c r="I15" s="12"/>
      <c r="J15" s="15"/>
      <c r="K15" s="15"/>
      <c r="L15" s="15"/>
      <c r="M15" s="15"/>
      <c r="N15" s="15"/>
      <c r="O15" s="15"/>
      <c r="P15" s="6"/>
    </row>
    <row r="16" spans="1:16" x14ac:dyDescent="0.3">
      <c r="A16" s="12"/>
      <c r="C16" s="17"/>
      <c r="D16" s="17"/>
      <c r="E16" s="17"/>
      <c r="F16" s="17"/>
      <c r="G16" s="17"/>
      <c r="H16" s="12"/>
      <c r="I16" s="12"/>
      <c r="J16" s="15"/>
      <c r="K16" s="15"/>
      <c r="L16" s="15"/>
      <c r="M16" s="15"/>
      <c r="N16" s="15"/>
      <c r="O16" s="15"/>
      <c r="P16" s="6"/>
    </row>
    <row r="17" spans="1:16" x14ac:dyDescent="0.3">
      <c r="A17" s="12"/>
      <c r="C17" s="17"/>
      <c r="D17" s="17"/>
      <c r="E17" s="17"/>
      <c r="F17" s="17"/>
      <c r="G17" s="17"/>
      <c r="H17" s="12"/>
      <c r="I17" s="12"/>
      <c r="J17" s="15"/>
      <c r="K17" s="15"/>
      <c r="L17" s="15"/>
      <c r="M17" s="15"/>
      <c r="N17" s="15"/>
      <c r="O17" s="15"/>
      <c r="P17" s="6"/>
    </row>
    <row r="18" spans="1:16" x14ac:dyDescent="0.3">
      <c r="A18" s="12"/>
      <c r="C18" s="17"/>
      <c r="D18" s="17"/>
      <c r="E18" s="17"/>
      <c r="F18" s="17"/>
      <c r="G18" s="17"/>
      <c r="H18" s="12"/>
      <c r="I18" s="12"/>
      <c r="J18" s="15"/>
      <c r="K18" s="15"/>
      <c r="L18" s="15"/>
      <c r="M18" s="15"/>
      <c r="N18" s="15"/>
      <c r="O18" s="15"/>
      <c r="P18" s="6"/>
    </row>
    <row r="19" spans="1:16" x14ac:dyDescent="0.3">
      <c r="A19" s="12"/>
      <c r="C19" s="17"/>
      <c r="D19" s="17"/>
      <c r="E19" s="17"/>
      <c r="F19" s="17"/>
      <c r="G19" s="17"/>
      <c r="H19" s="12"/>
      <c r="I19" s="12"/>
      <c r="J19" s="15"/>
      <c r="K19" s="15"/>
      <c r="L19" s="15"/>
      <c r="M19" s="15"/>
      <c r="N19" s="15"/>
      <c r="O19" s="15"/>
      <c r="P19" s="6"/>
    </row>
    <row r="20" spans="1:16" x14ac:dyDescent="0.3">
      <c r="A20" s="12"/>
      <c r="C20" s="17"/>
      <c r="D20" s="17"/>
      <c r="E20" s="17"/>
      <c r="F20" s="17"/>
      <c r="G20" s="17"/>
      <c r="H20" s="12"/>
      <c r="I20" s="12"/>
      <c r="J20" s="15"/>
      <c r="K20" s="15"/>
      <c r="L20" s="15"/>
      <c r="M20" s="15"/>
      <c r="N20" s="15"/>
      <c r="O20" s="15"/>
      <c r="P20" s="6"/>
    </row>
    <row r="21" spans="1:16" x14ac:dyDescent="0.3">
      <c r="A21" s="12"/>
      <c r="C21" s="17"/>
      <c r="D21" s="17"/>
      <c r="E21" s="17"/>
      <c r="F21" s="17"/>
      <c r="G21" s="17"/>
      <c r="H21" s="12"/>
      <c r="I21" s="12"/>
      <c r="J21" s="15"/>
      <c r="K21" s="15"/>
      <c r="L21" s="15"/>
      <c r="M21" s="15"/>
      <c r="N21" s="15"/>
      <c r="O21" s="15"/>
      <c r="P21" s="6"/>
    </row>
    <row r="22" spans="1:16" x14ac:dyDescent="0.3">
      <c r="A22" s="12"/>
      <c r="C22" s="17"/>
      <c r="D22" s="17"/>
      <c r="E22" s="17"/>
      <c r="F22" s="17"/>
      <c r="G22" s="17"/>
      <c r="H22" s="12"/>
      <c r="I22" s="12"/>
      <c r="J22" s="15"/>
      <c r="K22" s="15"/>
      <c r="L22" s="15"/>
      <c r="M22" s="15"/>
      <c r="N22" s="15"/>
      <c r="O22" s="15"/>
      <c r="P22" s="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74974822229687"/>
  </sheetPr>
  <dimension ref="A1:K41"/>
  <sheetViews>
    <sheetView workbookViewId="0">
      <selection activeCell="K14" sqref="K14"/>
    </sheetView>
  </sheetViews>
  <sheetFormatPr defaultRowHeight="16.5" x14ac:dyDescent="0.3"/>
  <cols>
    <col min="1" max="1" width="22.5" style="6" customWidth="1"/>
    <col min="2" max="2" width="27.125" style="6" customWidth="1"/>
    <col min="3" max="10" width="25.625" style="6" customWidth="1"/>
    <col min="11" max="11" width="52.625" style="10" customWidth="1"/>
    <col min="12" max="16384" width="9" style="1"/>
  </cols>
  <sheetData>
    <row r="1" spans="1:11" ht="49.5" x14ac:dyDescent="0.3">
      <c r="A1" s="4" t="s">
        <v>39</v>
      </c>
      <c r="B1" s="4" t="s">
        <v>112</v>
      </c>
      <c r="C1" s="11" t="s">
        <v>320</v>
      </c>
      <c r="D1" s="4" t="s">
        <v>126</v>
      </c>
      <c r="E1" s="11" t="s">
        <v>321</v>
      </c>
      <c r="F1" s="4" t="s">
        <v>133</v>
      </c>
      <c r="G1" s="11" t="s">
        <v>322</v>
      </c>
      <c r="H1" s="4" t="s">
        <v>323</v>
      </c>
      <c r="I1" s="11" t="s">
        <v>324</v>
      </c>
      <c r="J1" s="4" t="s">
        <v>325</v>
      </c>
      <c r="K1" s="14" t="s">
        <v>5</v>
      </c>
    </row>
    <row r="2" spans="1:11" s="32" customFormat="1" ht="23.25" customHeight="1" x14ac:dyDescent="0.3">
      <c r="A2" s="4" t="s">
        <v>40</v>
      </c>
      <c r="B2" s="4" t="s">
        <v>113</v>
      </c>
      <c r="C2" s="4" t="s">
        <v>122</v>
      </c>
      <c r="D2" s="4" t="s">
        <v>127</v>
      </c>
      <c r="E2" s="4" t="s">
        <v>131</v>
      </c>
      <c r="F2" s="4" t="s">
        <v>134</v>
      </c>
      <c r="G2" s="4" t="s">
        <v>138</v>
      </c>
      <c r="H2" s="4" t="s">
        <v>142</v>
      </c>
      <c r="I2" s="4" t="s">
        <v>146</v>
      </c>
      <c r="J2" s="4" t="s">
        <v>149</v>
      </c>
      <c r="K2" s="14" t="s">
        <v>64</v>
      </c>
    </row>
    <row r="3" spans="1:11" ht="23.25" customHeight="1" x14ac:dyDescent="0.3">
      <c r="A3" s="8" t="s">
        <v>254</v>
      </c>
      <c r="B3" s="8" t="s">
        <v>731</v>
      </c>
      <c r="C3" s="12">
        <v>0</v>
      </c>
      <c r="D3" s="12">
        <v>300</v>
      </c>
      <c r="G3" s="12">
        <v>0</v>
      </c>
      <c r="H3" s="12">
        <v>3</v>
      </c>
    </row>
    <row r="4" spans="1:11" ht="23.25" customHeight="1" x14ac:dyDescent="0.3">
      <c r="A4" s="8" t="s">
        <v>260</v>
      </c>
      <c r="B4" s="8" t="s">
        <v>732</v>
      </c>
      <c r="C4" s="12">
        <v>0</v>
      </c>
      <c r="D4" s="12">
        <v>300</v>
      </c>
      <c r="G4" s="12">
        <v>1</v>
      </c>
      <c r="H4" s="12">
        <v>5</v>
      </c>
      <c r="I4" s="12">
        <v>0</v>
      </c>
      <c r="J4" s="12">
        <v>3</v>
      </c>
    </row>
    <row r="5" spans="1:11" ht="23.25" customHeight="1" x14ac:dyDescent="0.3">
      <c r="A5" s="8" t="s">
        <v>266</v>
      </c>
      <c r="B5" s="8" t="s">
        <v>733</v>
      </c>
      <c r="C5" s="12">
        <v>0</v>
      </c>
      <c r="D5" s="12">
        <v>400</v>
      </c>
      <c r="G5" s="12">
        <v>4</v>
      </c>
      <c r="H5" s="12">
        <v>3</v>
      </c>
      <c r="I5" s="12"/>
      <c r="J5" s="12"/>
    </row>
    <row r="6" spans="1:11" ht="23.25" customHeight="1" x14ac:dyDescent="0.3">
      <c r="A6" s="8" t="s">
        <v>272</v>
      </c>
      <c r="B6" s="8" t="s">
        <v>734</v>
      </c>
      <c r="C6" s="101">
        <v>1</v>
      </c>
      <c r="D6" s="101">
        <v>5</v>
      </c>
      <c r="E6" s="102"/>
      <c r="F6" s="102"/>
      <c r="G6" s="101">
        <v>1</v>
      </c>
      <c r="H6" s="101">
        <v>10</v>
      </c>
      <c r="I6" s="101"/>
      <c r="J6" s="101"/>
      <c r="K6" s="103"/>
    </row>
    <row r="7" spans="1:11" ht="23.25" customHeight="1" x14ac:dyDescent="0.3">
      <c r="A7" s="8" t="s">
        <v>712</v>
      </c>
      <c r="B7" s="8" t="s">
        <v>735</v>
      </c>
      <c r="C7" s="101">
        <v>0</v>
      </c>
      <c r="D7" s="101">
        <v>300</v>
      </c>
      <c r="E7" s="102"/>
      <c r="F7" s="102"/>
      <c r="G7" s="101">
        <v>0</v>
      </c>
      <c r="H7" s="101">
        <v>4</v>
      </c>
      <c r="I7" s="101"/>
      <c r="J7" s="101"/>
      <c r="K7" s="103"/>
    </row>
    <row r="8" spans="1:11" ht="23.25" customHeight="1" x14ac:dyDescent="0.3">
      <c r="A8" s="136" t="s">
        <v>278</v>
      </c>
      <c r="B8" s="136" t="s">
        <v>736</v>
      </c>
      <c r="C8" s="142">
        <v>0</v>
      </c>
      <c r="D8" s="142">
        <v>1300</v>
      </c>
      <c r="E8" s="144"/>
      <c r="F8" s="144"/>
      <c r="G8" s="142">
        <v>0</v>
      </c>
      <c r="H8" s="142">
        <v>4</v>
      </c>
      <c r="I8" s="142">
        <v>4</v>
      </c>
      <c r="J8" s="142">
        <v>5</v>
      </c>
      <c r="K8" s="145" t="s">
        <v>326</v>
      </c>
    </row>
    <row r="9" spans="1:11" ht="23.25" customHeight="1" x14ac:dyDescent="0.3">
      <c r="A9" s="136" t="s">
        <v>284</v>
      </c>
      <c r="B9" s="136" t="s">
        <v>737</v>
      </c>
      <c r="C9" s="142">
        <v>1</v>
      </c>
      <c r="D9" s="142">
        <v>7</v>
      </c>
      <c r="E9" s="144"/>
      <c r="F9" s="144"/>
      <c r="G9" s="142">
        <v>1</v>
      </c>
      <c r="H9" s="142">
        <v>15</v>
      </c>
      <c r="I9" s="142"/>
      <c r="J9" s="142"/>
      <c r="K9" s="146"/>
    </row>
    <row r="10" spans="1:11" ht="23.25" customHeight="1" x14ac:dyDescent="0.3">
      <c r="A10" s="136" t="s">
        <v>289</v>
      </c>
      <c r="B10" s="136" t="s">
        <v>738</v>
      </c>
      <c r="C10" s="142">
        <v>2</v>
      </c>
      <c r="D10" s="142">
        <v>7</v>
      </c>
      <c r="E10" s="144"/>
      <c r="F10" s="144"/>
      <c r="G10" s="142">
        <v>4</v>
      </c>
      <c r="H10" s="142">
        <v>5</v>
      </c>
      <c r="I10" s="142"/>
      <c r="J10" s="142"/>
      <c r="K10" s="146"/>
    </row>
    <row r="11" spans="1:11" ht="23.25" customHeight="1" x14ac:dyDescent="0.3">
      <c r="A11" s="136" t="s">
        <v>295</v>
      </c>
      <c r="B11" s="136" t="s">
        <v>739</v>
      </c>
      <c r="C11" s="142">
        <v>0</v>
      </c>
      <c r="D11" s="142">
        <v>1000</v>
      </c>
      <c r="E11" s="142"/>
      <c r="F11" s="142"/>
      <c r="G11" s="142">
        <v>0</v>
      </c>
      <c r="H11" s="142">
        <v>4</v>
      </c>
      <c r="I11" s="142"/>
      <c r="J11" s="142"/>
      <c r="K11" s="146"/>
    </row>
    <row r="12" spans="1:11" ht="23.25" customHeight="1" x14ac:dyDescent="0.3">
      <c r="A12" s="136" t="s">
        <v>301</v>
      </c>
      <c r="B12" s="136" t="s">
        <v>740</v>
      </c>
      <c r="C12" s="142">
        <v>0</v>
      </c>
      <c r="D12" s="142">
        <v>1100</v>
      </c>
      <c r="E12" s="144"/>
      <c r="F12" s="144"/>
      <c r="G12" s="142">
        <v>4</v>
      </c>
      <c r="H12" s="142">
        <v>3</v>
      </c>
      <c r="I12" s="142"/>
      <c r="J12" s="142"/>
      <c r="K12" s="146"/>
    </row>
    <row r="13" spans="1:11" ht="23.25" customHeight="1" x14ac:dyDescent="0.3">
      <c r="A13" s="8" t="s">
        <v>313</v>
      </c>
      <c r="B13" s="8" t="s">
        <v>741</v>
      </c>
      <c r="C13" s="12">
        <v>2</v>
      </c>
      <c r="D13" s="12">
        <v>3</v>
      </c>
      <c r="G13" s="12">
        <v>4</v>
      </c>
      <c r="H13" s="12">
        <v>3</v>
      </c>
      <c r="I13" s="12"/>
      <c r="J13" s="12"/>
    </row>
    <row r="14" spans="1:11" ht="23.25" customHeight="1" x14ac:dyDescent="0.3">
      <c r="A14" s="8" t="s">
        <v>743</v>
      </c>
      <c r="B14" s="8" t="s">
        <v>763</v>
      </c>
      <c r="C14" s="12">
        <v>1</v>
      </c>
      <c r="D14" s="12">
        <v>10</v>
      </c>
      <c r="E14" s="12">
        <v>2</v>
      </c>
      <c r="F14" s="12">
        <v>10</v>
      </c>
      <c r="G14" s="12">
        <v>0</v>
      </c>
      <c r="H14" s="12">
        <v>10</v>
      </c>
      <c r="I14" s="12">
        <v>1</v>
      </c>
      <c r="J14" s="12">
        <v>10</v>
      </c>
    </row>
    <row r="15" spans="1:11" ht="23.25" customHeight="1" x14ac:dyDescent="0.3">
      <c r="A15" s="8"/>
      <c r="B15" s="8"/>
      <c r="C15" s="12"/>
      <c r="D15" s="12"/>
      <c r="E15" s="12"/>
      <c r="F15" s="12"/>
      <c r="G15" s="12"/>
      <c r="H15" s="12"/>
      <c r="I15" s="12"/>
      <c r="J15" s="12"/>
    </row>
    <row r="16" spans="1:11" ht="23.25" customHeight="1" x14ac:dyDescent="0.3">
      <c r="A16" s="8"/>
      <c r="B16" s="8"/>
      <c r="C16" s="12"/>
      <c r="D16" s="12"/>
      <c r="E16" s="12"/>
      <c r="F16" s="12"/>
      <c r="G16" s="12"/>
      <c r="H16" s="12"/>
      <c r="I16" s="12"/>
      <c r="J16" s="12"/>
    </row>
    <row r="17" spans="1:10" ht="23.25" customHeight="1" x14ac:dyDescent="0.3">
      <c r="A17" s="8"/>
      <c r="B17" s="8"/>
      <c r="C17" s="12"/>
      <c r="D17" s="12"/>
      <c r="E17" s="12"/>
      <c r="F17" s="12"/>
      <c r="G17" s="12"/>
      <c r="H17" s="12"/>
      <c r="I17" s="12"/>
      <c r="J17" s="12"/>
    </row>
    <row r="18" spans="1:10" ht="23.25" customHeight="1" x14ac:dyDescent="0.3">
      <c r="A18" s="8"/>
      <c r="B18" s="8"/>
      <c r="C18" s="12"/>
      <c r="D18" s="12"/>
      <c r="E18" s="12"/>
      <c r="F18" s="12"/>
      <c r="G18" s="12"/>
      <c r="H18" s="12"/>
      <c r="I18" s="12"/>
      <c r="J18" s="12"/>
    </row>
    <row r="19" spans="1:10" ht="23.25" customHeight="1" x14ac:dyDescent="0.3">
      <c r="A19" s="8"/>
      <c r="B19" s="8"/>
      <c r="C19" s="12"/>
      <c r="D19" s="12"/>
      <c r="E19" s="12"/>
      <c r="F19" s="12"/>
      <c r="G19" s="12"/>
      <c r="H19" s="12"/>
      <c r="I19" s="12"/>
      <c r="J19" s="12"/>
    </row>
    <row r="20" spans="1:10" ht="23.25" customHeight="1" x14ac:dyDescent="0.3">
      <c r="A20" s="8"/>
      <c r="B20" s="8"/>
      <c r="C20" s="12"/>
      <c r="D20" s="12"/>
      <c r="E20" s="12"/>
      <c r="F20" s="12"/>
      <c r="G20" s="12"/>
      <c r="H20" s="12"/>
      <c r="I20" s="12"/>
      <c r="J20" s="12"/>
    </row>
    <row r="21" spans="1:10" ht="23.25" customHeight="1" x14ac:dyDescent="0.3">
      <c r="A21" s="8"/>
      <c r="B21" s="8"/>
      <c r="C21" s="12"/>
      <c r="D21" s="12"/>
      <c r="E21" s="12"/>
      <c r="F21" s="12"/>
      <c r="G21" s="12"/>
      <c r="H21" s="12"/>
      <c r="I21" s="12"/>
      <c r="J21" s="12"/>
    </row>
    <row r="22" spans="1:10" ht="23.25" customHeight="1" x14ac:dyDescent="0.3">
      <c r="A22" s="8"/>
      <c r="B22" s="8"/>
      <c r="C22" s="12"/>
      <c r="D22" s="12"/>
      <c r="E22" s="12"/>
      <c r="F22" s="12"/>
      <c r="G22" s="12"/>
      <c r="H22" s="12"/>
      <c r="I22" s="12"/>
      <c r="J22" s="12"/>
    </row>
    <row r="23" spans="1:10" ht="23.25" customHeight="1" x14ac:dyDescent="0.3">
      <c r="A23" s="8"/>
      <c r="B23" s="8"/>
      <c r="C23" s="12"/>
      <c r="D23" s="12"/>
      <c r="E23" s="12"/>
      <c r="F23" s="12"/>
      <c r="G23" s="12"/>
      <c r="H23" s="12"/>
      <c r="I23" s="12"/>
      <c r="J23" s="12"/>
    </row>
    <row r="24" spans="1:10" ht="23.25" customHeight="1" x14ac:dyDescent="0.3">
      <c r="A24" s="8"/>
      <c r="B24" s="8"/>
      <c r="C24" s="12"/>
      <c r="D24" s="12"/>
      <c r="E24" s="12"/>
      <c r="F24" s="12"/>
      <c r="G24" s="12"/>
      <c r="H24" s="12"/>
      <c r="I24" s="12"/>
      <c r="J24" s="12"/>
    </row>
    <row r="25" spans="1:10" ht="23.25" customHeight="1" x14ac:dyDescent="0.3">
      <c r="A25" s="8"/>
      <c r="B25" s="8"/>
      <c r="C25" s="12"/>
      <c r="D25" s="12"/>
      <c r="E25" s="12"/>
      <c r="F25" s="12"/>
      <c r="G25" s="12"/>
      <c r="H25" s="12"/>
      <c r="I25" s="12"/>
      <c r="J25" s="12"/>
    </row>
    <row r="26" spans="1:10" ht="23.25" customHeight="1" x14ac:dyDescent="0.3">
      <c r="A26" s="8"/>
      <c r="B26" s="8"/>
      <c r="C26" s="12"/>
      <c r="D26" s="12"/>
      <c r="E26" s="12"/>
      <c r="F26" s="12"/>
      <c r="G26" s="12"/>
      <c r="H26" s="12"/>
      <c r="I26" s="12"/>
      <c r="J26" s="12"/>
    </row>
    <row r="27" spans="1:10" ht="23.25" customHeight="1" x14ac:dyDescent="0.3">
      <c r="A27" s="8"/>
      <c r="B27" s="8"/>
      <c r="C27" s="12"/>
      <c r="D27" s="12"/>
      <c r="E27" s="12"/>
      <c r="F27" s="12"/>
      <c r="G27" s="12"/>
      <c r="H27" s="12"/>
      <c r="I27" s="12"/>
      <c r="J27" s="12"/>
    </row>
    <row r="28" spans="1:10" ht="23.25" customHeight="1" x14ac:dyDescent="0.3">
      <c r="A28" s="8"/>
      <c r="B28" s="8"/>
      <c r="C28" s="12"/>
      <c r="D28" s="12"/>
      <c r="E28" s="12"/>
      <c r="F28" s="12"/>
      <c r="G28" s="12"/>
      <c r="H28" s="12"/>
      <c r="I28" s="12"/>
      <c r="J28" s="12"/>
    </row>
    <row r="29" spans="1:10" ht="23.25" customHeight="1" x14ac:dyDescent="0.3">
      <c r="A29" s="8"/>
      <c r="B29" s="8"/>
      <c r="C29" s="12"/>
      <c r="D29" s="12"/>
      <c r="E29" s="12"/>
      <c r="F29" s="12"/>
      <c r="G29" s="12"/>
      <c r="H29" s="12"/>
      <c r="I29" s="12"/>
      <c r="J29" s="12"/>
    </row>
    <row r="30" spans="1:10" ht="23.25" customHeight="1" x14ac:dyDescent="0.3">
      <c r="A30" s="8"/>
      <c r="B30" s="8"/>
      <c r="C30" s="12"/>
      <c r="D30" s="12"/>
      <c r="E30" s="12"/>
      <c r="F30" s="12"/>
      <c r="G30" s="12"/>
      <c r="H30" s="12"/>
      <c r="I30" s="12"/>
      <c r="J30" s="12"/>
    </row>
    <row r="31" spans="1:10" ht="23.25" customHeight="1" x14ac:dyDescent="0.3">
      <c r="A31" s="8"/>
      <c r="B31" s="8"/>
      <c r="C31" s="12"/>
      <c r="D31" s="12"/>
      <c r="E31" s="12"/>
      <c r="F31" s="12"/>
      <c r="G31" s="12"/>
      <c r="H31" s="12"/>
      <c r="I31" s="12"/>
      <c r="J31" s="12"/>
    </row>
    <row r="32" spans="1:10" ht="23.25" customHeight="1" x14ac:dyDescent="0.3">
      <c r="A32" s="8"/>
      <c r="B32" s="8"/>
      <c r="C32" s="12"/>
      <c r="D32" s="12"/>
      <c r="E32" s="12"/>
      <c r="F32" s="12"/>
      <c r="G32" s="12"/>
      <c r="H32" s="12"/>
      <c r="I32" s="12"/>
      <c r="J32" s="12"/>
    </row>
    <row r="33" spans="1:10" ht="23.25" customHeight="1" x14ac:dyDescent="0.3">
      <c r="A33" s="8"/>
      <c r="B33" s="8"/>
      <c r="C33" s="12"/>
      <c r="D33" s="12"/>
      <c r="E33" s="12"/>
      <c r="F33" s="12"/>
      <c r="G33" s="12"/>
      <c r="H33" s="12"/>
      <c r="I33" s="12"/>
      <c r="J33" s="12"/>
    </row>
    <row r="34" spans="1:10" ht="23.25" customHeight="1" x14ac:dyDescent="0.3">
      <c r="A34" s="8"/>
      <c r="B34" s="8"/>
      <c r="C34" s="12"/>
      <c r="D34" s="12"/>
      <c r="E34" s="12"/>
      <c r="F34" s="12"/>
      <c r="G34" s="12"/>
      <c r="H34" s="12"/>
      <c r="I34" s="12"/>
      <c r="J34" s="12"/>
    </row>
    <row r="35" spans="1:10" ht="23.25" customHeight="1" x14ac:dyDescent="0.3">
      <c r="A35" s="8"/>
      <c r="B35" s="8"/>
      <c r="C35" s="12"/>
      <c r="D35" s="12"/>
      <c r="E35" s="12"/>
      <c r="F35" s="12"/>
      <c r="G35" s="12"/>
      <c r="H35" s="12"/>
      <c r="I35" s="12"/>
      <c r="J35" s="12"/>
    </row>
    <row r="36" spans="1:10" ht="23.25" customHeight="1" x14ac:dyDescent="0.3">
      <c r="A36" s="8"/>
      <c r="B36" s="8"/>
      <c r="C36" s="12"/>
      <c r="D36" s="12"/>
      <c r="E36" s="12"/>
      <c r="F36" s="12"/>
      <c r="G36" s="12"/>
      <c r="H36" s="12"/>
      <c r="I36" s="12"/>
      <c r="J36" s="12"/>
    </row>
    <row r="37" spans="1:10" ht="23.25" customHeight="1" x14ac:dyDescent="0.3">
      <c r="A37" s="8"/>
      <c r="B37" s="8"/>
      <c r="C37" s="12"/>
      <c r="D37" s="12"/>
      <c r="E37" s="12"/>
      <c r="F37" s="12"/>
      <c r="G37" s="12"/>
      <c r="H37" s="12"/>
      <c r="I37" s="12"/>
      <c r="J37" s="12"/>
    </row>
    <row r="38" spans="1:10" ht="23.25" customHeight="1" x14ac:dyDescent="0.3">
      <c r="A38" s="8"/>
      <c r="B38" s="8"/>
      <c r="C38" s="12"/>
      <c r="D38" s="12"/>
      <c r="E38" s="12"/>
      <c r="F38" s="12"/>
      <c r="G38" s="12"/>
      <c r="H38" s="12"/>
      <c r="I38" s="12"/>
      <c r="J38" s="12"/>
    </row>
    <row r="39" spans="1:10" ht="23.25" customHeight="1" x14ac:dyDescent="0.3">
      <c r="A39" s="8"/>
      <c r="B39" s="8"/>
      <c r="C39" s="12"/>
      <c r="D39" s="12"/>
      <c r="E39" s="12"/>
      <c r="F39" s="12"/>
      <c r="G39" s="12"/>
      <c r="H39" s="12"/>
      <c r="I39" s="12"/>
      <c r="J39" s="12"/>
    </row>
    <row r="40" spans="1:10" ht="23.25" customHeight="1" x14ac:dyDescent="0.3">
      <c r="A40" s="8"/>
      <c r="B40" s="8"/>
      <c r="C40" s="12"/>
      <c r="D40" s="12"/>
      <c r="E40" s="12"/>
      <c r="F40" s="12"/>
      <c r="G40" s="12"/>
      <c r="H40" s="12"/>
      <c r="I40" s="12"/>
      <c r="J40" s="12"/>
    </row>
    <row r="41" spans="1:10" ht="23.25" customHeight="1" x14ac:dyDescent="0.3">
      <c r="A41" s="8"/>
      <c r="B41" s="8"/>
      <c r="C41" s="12"/>
      <c r="D41" s="13"/>
      <c r="E41" s="12"/>
      <c r="F41" s="12"/>
      <c r="G41" s="12"/>
      <c r="H41" s="12"/>
      <c r="I41" s="12"/>
      <c r="J41" s="12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74974822229687"/>
  </sheetPr>
  <dimension ref="A1:K44"/>
  <sheetViews>
    <sheetView workbookViewId="0">
      <selection activeCell="G1" sqref="G1"/>
    </sheetView>
  </sheetViews>
  <sheetFormatPr defaultRowHeight="16.5" x14ac:dyDescent="0.3"/>
  <cols>
    <col min="1" max="1" width="17.25" style="6" customWidth="1"/>
    <col min="2" max="2" width="9.5" style="6" customWidth="1"/>
    <col min="3" max="3" width="23.25" style="6" customWidth="1"/>
    <col min="4" max="4" width="33.125" style="9" customWidth="1"/>
    <col min="5" max="5" width="33.125" style="10" customWidth="1"/>
    <col min="6" max="6" width="32.625" style="10" customWidth="1"/>
    <col min="7" max="7" width="25.625" style="6" customWidth="1"/>
    <col min="8" max="8" width="24" style="6" customWidth="1"/>
    <col min="9" max="10" width="25.625" style="6" customWidth="1"/>
    <col min="11" max="11" width="25.625" style="9" customWidth="1"/>
    <col min="12" max="16384" width="9" style="1"/>
  </cols>
  <sheetData>
    <row r="1" spans="1:11" ht="82.5" x14ac:dyDescent="0.3">
      <c r="A1" s="4" t="s">
        <v>39</v>
      </c>
      <c r="B1" s="4" t="s">
        <v>45</v>
      </c>
      <c r="C1" s="11" t="s">
        <v>709</v>
      </c>
      <c r="D1" s="4" t="s">
        <v>61</v>
      </c>
      <c r="E1" s="4" t="s">
        <v>251</v>
      </c>
      <c r="F1" s="4" t="s">
        <v>233</v>
      </c>
      <c r="G1" s="11" t="s">
        <v>722</v>
      </c>
      <c r="H1" s="11" t="s">
        <v>327</v>
      </c>
      <c r="I1" s="11" t="s">
        <v>723</v>
      </c>
      <c r="J1" s="11" t="s">
        <v>328</v>
      </c>
      <c r="K1" s="4" t="s">
        <v>5</v>
      </c>
    </row>
    <row r="2" spans="1:11" x14ac:dyDescent="0.3">
      <c r="A2" s="4" t="s">
        <v>40</v>
      </c>
      <c r="B2" s="4" t="s">
        <v>46</v>
      </c>
      <c r="C2" s="4" t="s">
        <v>58</v>
      </c>
      <c r="D2" s="4" t="s">
        <v>62</v>
      </c>
      <c r="E2" s="4" t="s">
        <v>107</v>
      </c>
      <c r="F2" s="4" t="s">
        <v>100</v>
      </c>
      <c r="G2" s="4" t="s">
        <v>156</v>
      </c>
      <c r="H2" s="4" t="s">
        <v>160</v>
      </c>
      <c r="I2" s="4" t="s">
        <v>163</v>
      </c>
      <c r="J2" s="4" t="s">
        <v>166</v>
      </c>
      <c r="K2" s="4" t="s">
        <v>64</v>
      </c>
    </row>
    <row r="3" spans="1:11" ht="49.5" x14ac:dyDescent="0.3">
      <c r="A3" s="8" t="s">
        <v>329</v>
      </c>
      <c r="B3" s="8">
        <v>1</v>
      </c>
      <c r="C3" s="12">
        <v>2</v>
      </c>
      <c r="D3" s="33" t="s">
        <v>330</v>
      </c>
      <c r="E3" s="15" t="s">
        <v>331</v>
      </c>
      <c r="F3" s="33" t="s">
        <v>332</v>
      </c>
      <c r="G3" s="12">
        <v>1</v>
      </c>
      <c r="H3" s="12">
        <v>700</v>
      </c>
      <c r="I3" s="12"/>
      <c r="J3" s="12"/>
      <c r="K3" s="6"/>
    </row>
    <row r="4" spans="1:11" ht="33" x14ac:dyDescent="0.3">
      <c r="A4" s="8" t="s">
        <v>333</v>
      </c>
      <c r="B4" s="79">
        <v>1</v>
      </c>
      <c r="C4" s="80">
        <v>0</v>
      </c>
      <c r="D4" s="81" t="s">
        <v>334</v>
      </c>
      <c r="E4" s="81" t="s">
        <v>335</v>
      </c>
      <c r="F4" s="125" t="s">
        <v>336</v>
      </c>
      <c r="G4" s="80">
        <v>3</v>
      </c>
      <c r="H4" s="80">
        <v>3</v>
      </c>
      <c r="I4" s="80"/>
      <c r="J4" s="80"/>
      <c r="K4" s="82"/>
    </row>
    <row r="5" spans="1:11" ht="33" x14ac:dyDescent="0.3">
      <c r="A5" s="8" t="s">
        <v>337</v>
      </c>
      <c r="B5" s="8">
        <v>1</v>
      </c>
      <c r="C5" s="12">
        <v>3</v>
      </c>
      <c r="D5" s="33" t="s">
        <v>338</v>
      </c>
      <c r="E5" s="15" t="s">
        <v>339</v>
      </c>
      <c r="F5" s="15" t="s">
        <v>340</v>
      </c>
      <c r="G5" s="12">
        <v>0</v>
      </c>
      <c r="H5" s="12">
        <v>5</v>
      </c>
      <c r="I5" s="12"/>
      <c r="J5" s="12"/>
      <c r="K5" s="6"/>
    </row>
    <row r="6" spans="1:11" ht="33" customHeight="1" x14ac:dyDescent="0.3">
      <c r="A6" s="8" t="s">
        <v>718</v>
      </c>
      <c r="B6" s="154">
        <v>1</v>
      </c>
      <c r="C6" s="155">
        <v>5</v>
      </c>
      <c r="D6" s="163" t="s">
        <v>719</v>
      </c>
      <c r="E6" s="156" t="s">
        <v>720</v>
      </c>
      <c r="F6" s="156" t="s">
        <v>742</v>
      </c>
      <c r="G6" s="155">
        <v>5</v>
      </c>
      <c r="H6" s="155">
        <v>10</v>
      </c>
      <c r="I6" s="155"/>
      <c r="J6" s="155"/>
      <c r="K6" s="157"/>
    </row>
    <row r="7" spans="1:11" ht="33" x14ac:dyDescent="0.3">
      <c r="A7" s="136" t="s">
        <v>341</v>
      </c>
      <c r="B7" s="136">
        <v>4</v>
      </c>
      <c r="C7" s="137">
        <v>1</v>
      </c>
      <c r="D7" s="138" t="s">
        <v>342</v>
      </c>
      <c r="E7" s="139" t="s">
        <v>343</v>
      </c>
      <c r="F7" s="139" t="s">
        <v>344</v>
      </c>
      <c r="G7" s="137">
        <v>0</v>
      </c>
      <c r="H7" s="137">
        <v>6</v>
      </c>
      <c r="I7" s="137"/>
      <c r="J7" s="137"/>
      <c r="K7" s="140"/>
    </row>
    <row r="8" spans="1:11" ht="33" x14ac:dyDescent="0.3">
      <c r="A8" s="136" t="s">
        <v>345</v>
      </c>
      <c r="B8" s="141">
        <v>4</v>
      </c>
      <c r="C8" s="142">
        <v>0</v>
      </c>
      <c r="D8" s="143" t="s">
        <v>346</v>
      </c>
      <c r="E8" s="135" t="s">
        <v>347</v>
      </c>
      <c r="F8" s="135" t="s">
        <v>348</v>
      </c>
      <c r="G8" s="142">
        <v>1</v>
      </c>
      <c r="H8" s="142">
        <v>1500</v>
      </c>
      <c r="I8" s="142"/>
      <c r="J8" s="142"/>
      <c r="K8" s="144"/>
    </row>
    <row r="9" spans="1:11" ht="33" x14ac:dyDescent="0.3">
      <c r="A9" s="136" t="s">
        <v>349</v>
      </c>
      <c r="B9" s="141">
        <v>4</v>
      </c>
      <c r="C9" s="142">
        <v>3</v>
      </c>
      <c r="D9" s="143" t="s">
        <v>350</v>
      </c>
      <c r="E9" s="135" t="s">
        <v>351</v>
      </c>
      <c r="F9" s="135" t="s">
        <v>352</v>
      </c>
      <c r="G9" s="142">
        <v>3</v>
      </c>
      <c r="H9" s="142">
        <v>5</v>
      </c>
      <c r="I9" s="142"/>
      <c r="J9" s="142"/>
      <c r="K9" s="144"/>
    </row>
    <row r="10" spans="1:11" ht="33" x14ac:dyDescent="0.3">
      <c r="A10" s="136" t="s">
        <v>353</v>
      </c>
      <c r="B10" s="141">
        <v>4</v>
      </c>
      <c r="C10" s="142">
        <v>2</v>
      </c>
      <c r="D10" s="143" t="s">
        <v>354</v>
      </c>
      <c r="E10" s="135" t="s">
        <v>355</v>
      </c>
      <c r="F10" s="135" t="s">
        <v>356</v>
      </c>
      <c r="G10" s="142">
        <v>2</v>
      </c>
      <c r="H10" s="142">
        <v>5</v>
      </c>
      <c r="I10" s="142"/>
      <c r="J10" s="142"/>
      <c r="K10" s="144"/>
    </row>
    <row r="11" spans="1:11" ht="49.5" x14ac:dyDescent="0.3">
      <c r="A11" s="136" t="s">
        <v>357</v>
      </c>
      <c r="B11" s="141">
        <v>4</v>
      </c>
      <c r="C11" s="142">
        <v>0</v>
      </c>
      <c r="D11" s="143" t="s">
        <v>358</v>
      </c>
      <c r="E11" s="135" t="s">
        <v>359</v>
      </c>
      <c r="F11" s="135" t="s">
        <v>360</v>
      </c>
      <c r="G11" s="142">
        <v>4</v>
      </c>
      <c r="H11" s="142">
        <v>5</v>
      </c>
      <c r="I11" s="142"/>
      <c r="J11" s="142"/>
      <c r="K11" s="144"/>
    </row>
    <row r="12" spans="1:11" x14ac:dyDescent="0.3">
      <c r="A12" s="8"/>
      <c r="B12" s="8"/>
      <c r="C12" s="12"/>
      <c r="D12" s="33"/>
      <c r="E12" s="15"/>
      <c r="F12" s="15"/>
      <c r="G12" s="12"/>
      <c r="H12" s="12"/>
      <c r="I12" s="12"/>
      <c r="J12" s="12"/>
      <c r="K12" s="6"/>
    </row>
    <row r="13" spans="1:11" x14ac:dyDescent="0.3">
      <c r="A13" s="8"/>
      <c r="B13" s="8"/>
      <c r="C13" s="12"/>
      <c r="D13" s="33"/>
      <c r="E13" s="15"/>
      <c r="F13" s="15"/>
      <c r="G13" s="12"/>
      <c r="H13" s="12"/>
      <c r="I13" s="12"/>
      <c r="J13" s="12"/>
      <c r="K13" s="6"/>
    </row>
    <row r="14" spans="1:11" x14ac:dyDescent="0.3">
      <c r="A14" s="8"/>
      <c r="B14" s="8"/>
      <c r="C14" s="12"/>
      <c r="D14" s="33"/>
      <c r="E14" s="15"/>
      <c r="F14" s="15"/>
      <c r="G14" s="12"/>
      <c r="H14" s="12"/>
      <c r="I14" s="12"/>
      <c r="J14" s="12"/>
      <c r="K14" s="6"/>
    </row>
    <row r="15" spans="1:11" x14ac:dyDescent="0.3">
      <c r="A15" s="12"/>
      <c r="C15" s="12"/>
      <c r="D15" s="33"/>
      <c r="E15" s="15"/>
      <c r="F15" s="15"/>
      <c r="G15" s="12"/>
      <c r="H15" s="12"/>
      <c r="I15" s="12"/>
      <c r="J15" s="12"/>
      <c r="K15" s="6"/>
    </row>
    <row r="16" spans="1:11" x14ac:dyDescent="0.3">
      <c r="A16" s="12"/>
      <c r="C16" s="12"/>
      <c r="D16" s="33"/>
      <c r="E16" s="15"/>
      <c r="F16" s="15"/>
      <c r="G16" s="12"/>
      <c r="H16" s="12"/>
      <c r="I16" s="12"/>
      <c r="J16" s="12"/>
      <c r="K16" s="6"/>
    </row>
    <row r="17" spans="1:11" x14ac:dyDescent="0.3">
      <c r="A17" s="12"/>
      <c r="C17" s="12"/>
      <c r="D17" s="33"/>
      <c r="E17" s="15"/>
      <c r="F17" s="15"/>
      <c r="G17" s="12"/>
      <c r="H17" s="12"/>
      <c r="I17" s="12"/>
      <c r="J17" s="12"/>
      <c r="K17" s="6"/>
    </row>
    <row r="18" spans="1:11" x14ac:dyDescent="0.3">
      <c r="A18" s="12"/>
      <c r="C18" s="12"/>
      <c r="D18" s="33"/>
      <c r="E18" s="15"/>
      <c r="F18" s="15"/>
      <c r="G18" s="12"/>
      <c r="H18" s="12"/>
      <c r="I18" s="12"/>
      <c r="J18" s="12"/>
      <c r="K18" s="6"/>
    </row>
    <row r="19" spans="1:11" x14ac:dyDescent="0.3">
      <c r="A19" s="12"/>
      <c r="C19" s="12"/>
      <c r="D19" s="33"/>
      <c r="E19" s="15"/>
      <c r="F19" s="15"/>
      <c r="G19" s="12"/>
      <c r="H19" s="12"/>
      <c r="I19" s="12"/>
      <c r="J19" s="12"/>
      <c r="K19" s="6"/>
    </row>
    <row r="20" spans="1:11" x14ac:dyDescent="0.3">
      <c r="A20" s="12"/>
      <c r="C20" s="12"/>
      <c r="D20" s="33"/>
      <c r="E20" s="15"/>
      <c r="F20" s="15"/>
      <c r="G20" s="12"/>
      <c r="H20" s="12"/>
      <c r="I20" s="12"/>
      <c r="J20" s="12"/>
      <c r="K20" s="6"/>
    </row>
    <row r="21" spans="1:11" x14ac:dyDescent="0.3">
      <c r="A21" s="12"/>
      <c r="C21" s="12"/>
      <c r="D21" s="33"/>
      <c r="E21" s="15"/>
      <c r="F21" s="15"/>
      <c r="G21" s="12"/>
      <c r="H21" s="12"/>
      <c r="I21" s="12"/>
      <c r="J21" s="12"/>
      <c r="K21" s="6"/>
    </row>
    <row r="22" spans="1:11" x14ac:dyDescent="0.3">
      <c r="A22" s="12"/>
      <c r="C22" s="12"/>
      <c r="D22" s="33"/>
      <c r="E22" s="15"/>
      <c r="F22" s="15"/>
      <c r="G22" s="12"/>
      <c r="H22" s="12"/>
      <c r="I22" s="12"/>
      <c r="J22" s="12"/>
      <c r="K22" s="6"/>
    </row>
    <row r="23" spans="1:11" x14ac:dyDescent="0.3">
      <c r="A23" s="12"/>
      <c r="C23" s="12"/>
      <c r="D23" s="33"/>
      <c r="E23" s="15"/>
      <c r="F23" s="15"/>
      <c r="G23" s="12"/>
      <c r="H23" s="12"/>
      <c r="I23" s="12"/>
      <c r="J23" s="12"/>
      <c r="K23" s="6"/>
    </row>
    <row r="24" spans="1:11" x14ac:dyDescent="0.3">
      <c r="A24" s="12"/>
      <c r="C24" s="12"/>
      <c r="D24" s="33"/>
      <c r="E24" s="15"/>
      <c r="F24" s="15"/>
      <c r="G24" s="12"/>
      <c r="H24" s="12"/>
      <c r="I24" s="12"/>
      <c r="J24" s="12"/>
      <c r="K24" s="6"/>
    </row>
    <row r="25" spans="1:11" x14ac:dyDescent="0.3">
      <c r="A25" s="12"/>
      <c r="C25" s="12"/>
      <c r="D25" s="33"/>
      <c r="E25" s="15"/>
      <c r="G25" s="12"/>
      <c r="H25" s="12"/>
      <c r="I25" s="12"/>
      <c r="J25" s="12"/>
      <c r="K25" s="6"/>
    </row>
    <row r="26" spans="1:11" x14ac:dyDescent="0.3">
      <c r="A26" s="12"/>
      <c r="C26" s="12"/>
      <c r="D26" s="33"/>
      <c r="E26" s="15"/>
      <c r="G26" s="12"/>
      <c r="H26" s="12"/>
      <c r="I26" s="12"/>
      <c r="J26" s="12"/>
      <c r="K26" s="6"/>
    </row>
    <row r="27" spans="1:11" x14ac:dyDescent="0.3">
      <c r="A27" s="12"/>
      <c r="C27" s="12"/>
      <c r="D27" s="33"/>
      <c r="E27" s="15"/>
      <c r="G27" s="12"/>
      <c r="H27" s="12"/>
      <c r="I27" s="12"/>
      <c r="J27" s="12"/>
      <c r="K27" s="6"/>
    </row>
    <row r="28" spans="1:11" x14ac:dyDescent="0.3">
      <c r="A28" s="12"/>
      <c r="C28" s="12"/>
      <c r="D28" s="33"/>
      <c r="E28" s="15"/>
      <c r="G28" s="12"/>
      <c r="H28" s="12"/>
      <c r="I28" s="12"/>
      <c r="J28" s="12"/>
      <c r="K28" s="6"/>
    </row>
    <row r="29" spans="1:11" x14ac:dyDescent="0.3">
      <c r="A29" s="12"/>
      <c r="C29" s="12"/>
      <c r="D29" s="33"/>
      <c r="E29" s="15"/>
      <c r="G29" s="12"/>
      <c r="H29" s="12"/>
      <c r="I29" s="12"/>
      <c r="J29" s="12"/>
      <c r="K29" s="6"/>
    </row>
    <row r="30" spans="1:11" x14ac:dyDescent="0.3">
      <c r="A30" s="12"/>
      <c r="C30" s="12"/>
      <c r="D30" s="33"/>
      <c r="E30" s="15"/>
      <c r="G30" s="12"/>
      <c r="H30" s="12"/>
      <c r="I30" s="12"/>
      <c r="J30" s="12"/>
      <c r="K30" s="6"/>
    </row>
    <row r="31" spans="1:11" x14ac:dyDescent="0.3">
      <c r="A31" s="12"/>
      <c r="C31" s="12"/>
      <c r="D31" s="33"/>
      <c r="E31" s="15"/>
      <c r="G31" s="12"/>
      <c r="H31" s="12"/>
      <c r="I31" s="12"/>
      <c r="J31" s="12"/>
      <c r="K31" s="6"/>
    </row>
    <row r="32" spans="1:11" x14ac:dyDescent="0.3">
      <c r="A32" s="12"/>
      <c r="C32" s="12"/>
      <c r="D32" s="33"/>
      <c r="E32" s="15"/>
      <c r="G32" s="12"/>
      <c r="H32" s="12"/>
      <c r="I32" s="12"/>
      <c r="J32" s="12"/>
      <c r="K32" s="6"/>
    </row>
    <row r="33" spans="1:11" x14ac:dyDescent="0.3">
      <c r="A33" s="12"/>
      <c r="C33" s="12"/>
      <c r="D33" s="33"/>
      <c r="E33" s="15"/>
      <c r="G33" s="12"/>
      <c r="H33" s="12"/>
      <c r="I33" s="12"/>
      <c r="J33" s="12"/>
      <c r="K33" s="6"/>
    </row>
    <row r="34" spans="1:11" x14ac:dyDescent="0.3">
      <c r="A34" s="12"/>
      <c r="C34" s="12"/>
      <c r="D34" s="33"/>
      <c r="E34" s="15"/>
      <c r="G34" s="12"/>
      <c r="H34" s="12"/>
      <c r="I34" s="12"/>
      <c r="J34" s="12"/>
      <c r="K34" s="6"/>
    </row>
    <row r="35" spans="1:11" x14ac:dyDescent="0.3">
      <c r="A35" s="12"/>
      <c r="C35" s="12"/>
      <c r="D35" s="33"/>
      <c r="E35" s="15"/>
      <c r="G35" s="12"/>
      <c r="H35" s="12"/>
      <c r="I35" s="12"/>
      <c r="J35" s="12"/>
      <c r="K35" s="6"/>
    </row>
    <row r="36" spans="1:11" x14ac:dyDescent="0.3">
      <c r="A36" s="12"/>
      <c r="C36" s="12"/>
      <c r="D36" s="33"/>
      <c r="E36" s="15"/>
      <c r="G36" s="12"/>
      <c r="H36" s="12"/>
      <c r="I36" s="12"/>
      <c r="J36" s="12"/>
      <c r="K36" s="6"/>
    </row>
    <row r="37" spans="1:11" x14ac:dyDescent="0.3">
      <c r="A37" s="12"/>
      <c r="C37" s="12"/>
      <c r="D37" s="33"/>
      <c r="E37" s="15"/>
      <c r="G37" s="12"/>
      <c r="H37" s="12"/>
      <c r="I37" s="12"/>
      <c r="J37" s="12"/>
      <c r="K37" s="6"/>
    </row>
    <row r="38" spans="1:11" x14ac:dyDescent="0.3">
      <c r="A38" s="12"/>
      <c r="C38" s="12"/>
      <c r="D38" s="33"/>
      <c r="E38" s="15"/>
      <c r="G38" s="12"/>
      <c r="H38" s="12"/>
      <c r="I38" s="12"/>
      <c r="J38" s="12"/>
      <c r="K38" s="6"/>
    </row>
    <row r="39" spans="1:11" x14ac:dyDescent="0.3">
      <c r="A39" s="12"/>
      <c r="C39" s="12"/>
      <c r="D39" s="33"/>
      <c r="E39" s="15"/>
      <c r="G39" s="12"/>
      <c r="H39" s="12"/>
      <c r="I39" s="12"/>
      <c r="J39" s="12"/>
      <c r="K39" s="6"/>
    </row>
    <row r="40" spans="1:11" x14ac:dyDescent="0.3">
      <c r="A40" s="12"/>
      <c r="C40" s="12"/>
      <c r="D40" s="33"/>
      <c r="E40" s="15"/>
      <c r="G40" s="12"/>
      <c r="H40" s="12"/>
      <c r="I40" s="12"/>
      <c r="J40" s="12"/>
      <c r="K40" s="6"/>
    </row>
    <row r="41" spans="1:11" x14ac:dyDescent="0.3">
      <c r="A41" s="12"/>
      <c r="C41" s="12"/>
      <c r="D41" s="33"/>
      <c r="E41" s="15"/>
      <c r="G41" s="12"/>
      <c r="H41" s="12"/>
      <c r="I41" s="12"/>
      <c r="J41" s="12"/>
      <c r="K41" s="6"/>
    </row>
    <row r="42" spans="1:11" x14ac:dyDescent="0.3">
      <c r="A42" s="12"/>
      <c r="C42" s="12"/>
      <c r="D42" s="33"/>
      <c r="E42" s="15"/>
      <c r="G42" s="12"/>
      <c r="H42" s="12"/>
      <c r="I42" s="12"/>
      <c r="J42" s="12"/>
      <c r="K42" s="6"/>
    </row>
    <row r="43" spans="1:11" x14ac:dyDescent="0.3">
      <c r="A43" s="12"/>
      <c r="C43" s="12"/>
      <c r="D43" s="33"/>
      <c r="E43" s="15"/>
      <c r="G43" s="12"/>
      <c r="H43" s="12"/>
      <c r="I43" s="12"/>
      <c r="J43" s="12"/>
      <c r="K43" s="6"/>
    </row>
    <row r="44" spans="1:11" x14ac:dyDescent="0.3">
      <c r="A44" s="12"/>
      <c r="C44" s="12"/>
      <c r="D44" s="33"/>
      <c r="E44" s="15"/>
      <c r="G44" s="12"/>
      <c r="H44" s="12"/>
      <c r="I44" s="12"/>
      <c r="J44" s="12"/>
      <c r="K44" s="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74974822229687"/>
  </sheetPr>
  <dimension ref="A1:R22"/>
  <sheetViews>
    <sheetView tabSelected="1" topLeftCell="E1" workbookViewId="0">
      <selection activeCell="O1" sqref="O1"/>
    </sheetView>
  </sheetViews>
  <sheetFormatPr defaultRowHeight="16.5" x14ac:dyDescent="0.3"/>
  <cols>
    <col min="1" max="1" width="19.37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8" style="16" customWidth="1"/>
    <col min="9" max="9" width="23.75" style="16" customWidth="1"/>
    <col min="10" max="10" width="32" style="6" customWidth="1"/>
    <col min="11" max="11" width="32.625" style="10" customWidth="1"/>
    <col min="12" max="12" width="28.75" style="9" customWidth="1"/>
    <col min="13" max="13" width="28.125" style="6" customWidth="1"/>
    <col min="14" max="14" width="20.625" style="6" customWidth="1"/>
    <col min="15" max="15" width="25.875" style="6" customWidth="1"/>
    <col min="16" max="16" width="23.125" style="16" customWidth="1"/>
    <col min="17" max="17" width="26" style="16" customWidth="1"/>
    <col min="18" max="18" width="25.625" style="44" customWidth="1"/>
    <col min="19" max="16384" width="9" style="1"/>
  </cols>
  <sheetData>
    <row r="1" spans="1:18" s="46" customFormat="1" ht="99" x14ac:dyDescent="0.3">
      <c r="A1" s="11" t="s">
        <v>39</v>
      </c>
      <c r="B1" s="20" t="s">
        <v>307</v>
      </c>
      <c r="C1" s="24" t="s">
        <v>308</v>
      </c>
      <c r="D1" s="24" t="s">
        <v>309</v>
      </c>
      <c r="E1" s="24" t="s">
        <v>310</v>
      </c>
      <c r="F1" s="24" t="s">
        <v>311</v>
      </c>
      <c r="G1" s="20" t="s">
        <v>93</v>
      </c>
      <c r="H1" s="11" t="s">
        <v>51</v>
      </c>
      <c r="I1" s="11" t="s">
        <v>705</v>
      </c>
      <c r="J1" s="11" t="s">
        <v>61</v>
      </c>
      <c r="K1" s="4" t="s">
        <v>233</v>
      </c>
      <c r="L1" s="11" t="s">
        <v>251</v>
      </c>
      <c r="M1" s="11" t="s">
        <v>722</v>
      </c>
      <c r="N1" s="11" t="s">
        <v>327</v>
      </c>
      <c r="O1" s="11" t="s">
        <v>722</v>
      </c>
      <c r="P1" s="11" t="s">
        <v>328</v>
      </c>
      <c r="Q1" s="11" t="s">
        <v>5</v>
      </c>
      <c r="R1" s="45"/>
    </row>
    <row r="2" spans="1:18" ht="27" x14ac:dyDescent="0.3">
      <c r="A2" s="4" t="s">
        <v>40</v>
      </c>
      <c r="B2" s="21" t="s">
        <v>69</v>
      </c>
      <c r="C2" s="25" t="s">
        <v>74</v>
      </c>
      <c r="D2" s="25" t="s">
        <v>79</v>
      </c>
      <c r="E2" s="25" t="s">
        <v>84</v>
      </c>
      <c r="F2" s="25" t="s">
        <v>89</v>
      </c>
      <c r="G2" s="21" t="s">
        <v>94</v>
      </c>
      <c r="H2" s="4" t="s">
        <v>52</v>
      </c>
      <c r="I2" s="4" t="s">
        <v>58</v>
      </c>
      <c r="J2" s="4" t="s">
        <v>62</v>
      </c>
      <c r="K2" s="4" t="s">
        <v>100</v>
      </c>
      <c r="L2" s="4" t="s">
        <v>107</v>
      </c>
      <c r="M2" s="4" t="s">
        <v>156</v>
      </c>
      <c r="N2" s="4" t="s">
        <v>160</v>
      </c>
      <c r="O2" s="4" t="s">
        <v>163</v>
      </c>
      <c r="P2" s="4" t="s">
        <v>166</v>
      </c>
      <c r="Q2" s="4" t="s">
        <v>64</v>
      </c>
    </row>
    <row r="3" spans="1:18" ht="50.1" customHeight="1" x14ac:dyDescent="0.3">
      <c r="A3" s="8" t="s">
        <v>361</v>
      </c>
      <c r="B3" s="8">
        <v>1</v>
      </c>
      <c r="C3" s="17">
        <v>4</v>
      </c>
      <c r="D3" s="17">
        <v>0</v>
      </c>
      <c r="E3" s="17">
        <v>0</v>
      </c>
      <c r="F3" s="17">
        <v>0</v>
      </c>
      <c r="G3" s="17">
        <v>20</v>
      </c>
      <c r="H3" s="12" t="s">
        <v>362</v>
      </c>
      <c r="I3" s="12">
        <v>4</v>
      </c>
      <c r="J3" s="12" t="s">
        <v>363</v>
      </c>
      <c r="K3" s="33" t="s">
        <v>364</v>
      </c>
      <c r="L3" s="74" t="s">
        <v>365</v>
      </c>
      <c r="M3" s="12">
        <v>0</v>
      </c>
      <c r="N3" s="12">
        <v>5</v>
      </c>
      <c r="O3" s="12"/>
      <c r="P3" s="12"/>
      <c r="Q3" s="48"/>
    </row>
    <row r="4" spans="1:18" ht="49.5" x14ac:dyDescent="0.3">
      <c r="A4" s="8" t="s">
        <v>744</v>
      </c>
      <c r="B4" s="8">
        <v>2</v>
      </c>
      <c r="C4" s="17">
        <v>0</v>
      </c>
      <c r="D4" s="17"/>
      <c r="E4" s="17"/>
      <c r="F4" s="17">
        <v>0</v>
      </c>
      <c r="G4" s="17">
        <v>12</v>
      </c>
      <c r="H4" s="12" t="s">
        <v>747</v>
      </c>
      <c r="I4" s="12">
        <v>4</v>
      </c>
      <c r="J4" s="164" t="s">
        <v>748</v>
      </c>
      <c r="K4" s="12" t="s">
        <v>745</v>
      </c>
      <c r="L4" s="33" t="s">
        <v>746</v>
      </c>
      <c r="M4" s="12">
        <v>1</v>
      </c>
      <c r="N4" s="12">
        <v>1500</v>
      </c>
      <c r="O4" s="12">
        <v>3</v>
      </c>
      <c r="P4" s="12">
        <v>5</v>
      </c>
      <c r="Q4" s="12"/>
    </row>
    <row r="5" spans="1:18" x14ac:dyDescent="0.3">
      <c r="A5" s="8"/>
      <c r="B5" s="8"/>
      <c r="C5" s="17"/>
      <c r="D5" s="17"/>
      <c r="E5" s="17"/>
      <c r="F5" s="17"/>
      <c r="G5" s="17"/>
      <c r="H5" s="12"/>
      <c r="I5" s="12"/>
      <c r="J5" s="12"/>
      <c r="K5" s="15"/>
      <c r="L5" s="33"/>
      <c r="M5" s="12"/>
      <c r="N5" s="12"/>
      <c r="O5" s="12"/>
      <c r="P5" s="12"/>
      <c r="Q5" s="12"/>
    </row>
    <row r="6" spans="1:18" x14ac:dyDescent="0.3">
      <c r="A6" s="8"/>
      <c r="B6" s="8"/>
      <c r="C6" s="17"/>
      <c r="D6" s="17"/>
      <c r="E6" s="17"/>
      <c r="F6" s="17"/>
      <c r="G6" s="17"/>
      <c r="H6" s="12"/>
      <c r="I6" s="12"/>
      <c r="J6" s="12"/>
      <c r="K6" s="15"/>
      <c r="L6" s="33"/>
      <c r="M6" s="12"/>
      <c r="N6" s="12"/>
      <c r="O6" s="12"/>
      <c r="P6" s="12"/>
      <c r="Q6" s="12"/>
    </row>
    <row r="7" spans="1:18" x14ac:dyDescent="0.3">
      <c r="A7" s="8"/>
      <c r="B7" s="8"/>
      <c r="C7" s="17"/>
      <c r="D7" s="17"/>
      <c r="E7" s="17"/>
      <c r="F7" s="17"/>
      <c r="G7" s="17"/>
      <c r="H7" s="12"/>
      <c r="I7" s="12"/>
      <c r="J7" s="12"/>
      <c r="K7" s="15"/>
      <c r="L7" s="33"/>
      <c r="M7" s="12"/>
      <c r="N7" s="12"/>
      <c r="O7" s="12"/>
      <c r="P7" s="12"/>
      <c r="Q7" s="12"/>
    </row>
    <row r="8" spans="1:18" x14ac:dyDescent="0.3">
      <c r="A8" s="8"/>
      <c r="B8" s="8"/>
      <c r="C8" s="17"/>
      <c r="D8" s="17"/>
      <c r="E8" s="17"/>
      <c r="F8" s="17"/>
      <c r="G8" s="17"/>
      <c r="H8" s="12"/>
      <c r="I8" s="12"/>
      <c r="J8" s="12"/>
      <c r="K8" s="15"/>
      <c r="L8" s="33"/>
      <c r="M8" s="12"/>
      <c r="N8" s="12"/>
      <c r="O8" s="12"/>
      <c r="P8" s="12"/>
      <c r="Q8" s="12"/>
    </row>
    <row r="9" spans="1:18" x14ac:dyDescent="0.3">
      <c r="A9" s="8"/>
      <c r="B9" s="8"/>
      <c r="C9" s="17"/>
      <c r="D9" s="17"/>
      <c r="E9" s="17"/>
      <c r="F9" s="17"/>
      <c r="G9" s="17"/>
      <c r="H9" s="12"/>
      <c r="I9" s="12"/>
      <c r="J9" s="12"/>
      <c r="K9" s="15"/>
      <c r="L9" s="33"/>
      <c r="M9" s="12"/>
      <c r="N9" s="12"/>
      <c r="O9" s="12"/>
      <c r="P9" s="12"/>
      <c r="Q9" s="12"/>
    </row>
    <row r="10" spans="1:18" x14ac:dyDescent="0.3">
      <c r="A10" s="8"/>
      <c r="B10" s="8"/>
      <c r="C10" s="17"/>
      <c r="D10" s="17"/>
      <c r="E10" s="17"/>
      <c r="F10" s="17"/>
      <c r="G10" s="17"/>
      <c r="H10" s="12"/>
      <c r="I10" s="12"/>
      <c r="J10" s="12"/>
      <c r="K10" s="15"/>
      <c r="L10" s="33"/>
      <c r="M10" s="12"/>
      <c r="N10" s="12"/>
      <c r="O10" s="12"/>
      <c r="P10" s="12"/>
      <c r="Q10" s="12"/>
    </row>
    <row r="11" spans="1:18" x14ac:dyDescent="0.3">
      <c r="A11" s="8"/>
      <c r="B11" s="8"/>
      <c r="C11" s="17"/>
      <c r="D11" s="17"/>
      <c r="E11" s="17"/>
      <c r="F11" s="17"/>
      <c r="G11" s="17"/>
      <c r="H11" s="12"/>
      <c r="I11" s="12"/>
      <c r="J11" s="12"/>
      <c r="K11" s="15"/>
      <c r="L11" s="33"/>
      <c r="M11" s="12"/>
      <c r="N11" s="12"/>
      <c r="O11" s="12"/>
      <c r="P11" s="12"/>
      <c r="Q11" s="12"/>
    </row>
    <row r="12" spans="1:18" x14ac:dyDescent="0.3">
      <c r="A12" s="8"/>
      <c r="B12" s="8"/>
      <c r="C12" s="17"/>
      <c r="D12" s="17"/>
      <c r="E12" s="17"/>
      <c r="F12" s="17"/>
      <c r="G12" s="17"/>
      <c r="H12" s="12"/>
      <c r="I12" s="12"/>
      <c r="J12" s="12"/>
      <c r="K12" s="15"/>
      <c r="L12" s="33"/>
      <c r="M12" s="12"/>
      <c r="N12" s="12"/>
      <c r="O12" s="12"/>
      <c r="P12" s="12"/>
      <c r="Q12" s="12"/>
    </row>
    <row r="13" spans="1:18" x14ac:dyDescent="0.3">
      <c r="A13" s="12"/>
      <c r="C13" s="17"/>
      <c r="D13" s="17"/>
      <c r="E13" s="17"/>
      <c r="F13" s="17"/>
      <c r="G13" s="17"/>
      <c r="H13" s="12"/>
      <c r="I13" s="12"/>
      <c r="J13" s="12"/>
      <c r="K13" s="15"/>
      <c r="L13" s="33"/>
      <c r="M13" s="12"/>
      <c r="N13" s="12"/>
      <c r="O13" s="12"/>
      <c r="P13" s="12"/>
      <c r="Q13" s="12"/>
    </row>
    <row r="14" spans="1:18" x14ac:dyDescent="0.3">
      <c r="A14" s="12"/>
      <c r="C14" s="17"/>
      <c r="D14" s="17"/>
      <c r="E14" s="17"/>
      <c r="F14" s="17"/>
      <c r="G14" s="17"/>
      <c r="H14" s="12"/>
      <c r="I14" s="12"/>
      <c r="J14" s="12"/>
      <c r="K14" s="15"/>
      <c r="L14" s="33"/>
      <c r="M14" s="12"/>
      <c r="N14" s="12"/>
      <c r="O14" s="12"/>
      <c r="P14" s="12"/>
      <c r="Q14" s="12"/>
    </row>
    <row r="15" spans="1:18" x14ac:dyDescent="0.3">
      <c r="A15" s="12"/>
      <c r="C15" s="17"/>
      <c r="D15" s="17"/>
      <c r="E15" s="17"/>
      <c r="F15" s="17"/>
      <c r="G15" s="17"/>
      <c r="H15" s="12"/>
      <c r="I15" s="12"/>
      <c r="J15" s="12"/>
      <c r="K15" s="15"/>
      <c r="L15" s="33"/>
      <c r="M15" s="12"/>
      <c r="N15" s="12"/>
      <c r="O15" s="12"/>
      <c r="P15" s="12"/>
      <c r="Q15" s="12"/>
    </row>
    <row r="16" spans="1:18" x14ac:dyDescent="0.3">
      <c r="A16" s="12"/>
      <c r="C16" s="17"/>
      <c r="D16" s="17"/>
      <c r="E16" s="17"/>
      <c r="F16" s="17"/>
      <c r="G16" s="17"/>
      <c r="H16" s="12"/>
      <c r="I16" s="12"/>
      <c r="J16" s="12"/>
      <c r="K16" s="15"/>
      <c r="L16" s="33"/>
      <c r="M16" s="12"/>
      <c r="N16" s="12"/>
      <c r="O16" s="12"/>
      <c r="P16" s="12"/>
      <c r="Q16" s="12"/>
    </row>
    <row r="17" spans="1:17" x14ac:dyDescent="0.3">
      <c r="A17" s="12"/>
      <c r="C17" s="17"/>
      <c r="D17" s="17"/>
      <c r="E17" s="17"/>
      <c r="F17" s="17"/>
      <c r="G17" s="17"/>
      <c r="H17" s="12"/>
      <c r="I17" s="12"/>
      <c r="J17" s="12"/>
      <c r="K17" s="15"/>
      <c r="L17" s="33"/>
      <c r="M17" s="12"/>
      <c r="N17" s="12"/>
      <c r="O17" s="12"/>
      <c r="P17" s="12"/>
      <c r="Q17" s="12"/>
    </row>
    <row r="18" spans="1:17" x14ac:dyDescent="0.3">
      <c r="A18" s="12"/>
      <c r="C18" s="17"/>
      <c r="D18" s="17"/>
      <c r="E18" s="17"/>
      <c r="F18" s="17"/>
      <c r="G18" s="17"/>
      <c r="H18" s="12"/>
      <c r="I18" s="12"/>
      <c r="J18" s="12"/>
      <c r="K18" s="15"/>
      <c r="L18" s="33"/>
      <c r="M18" s="12"/>
      <c r="N18" s="12"/>
      <c r="O18" s="12"/>
      <c r="P18" s="12"/>
      <c r="Q18" s="12"/>
    </row>
    <row r="19" spans="1:17" x14ac:dyDescent="0.3">
      <c r="A19" s="12"/>
      <c r="C19" s="17"/>
      <c r="D19" s="17"/>
      <c r="E19" s="17"/>
      <c r="F19" s="17"/>
      <c r="G19" s="17"/>
      <c r="H19" s="12"/>
      <c r="I19" s="12"/>
      <c r="J19" s="12"/>
      <c r="K19" s="15"/>
      <c r="L19" s="33"/>
      <c r="M19" s="12"/>
      <c r="N19" s="12"/>
      <c r="O19" s="12"/>
      <c r="P19" s="12"/>
      <c r="Q19" s="12"/>
    </row>
    <row r="20" spans="1:17" x14ac:dyDescent="0.3">
      <c r="A20" s="12"/>
      <c r="C20" s="17"/>
      <c r="D20" s="17"/>
      <c r="E20" s="17"/>
      <c r="F20" s="17"/>
      <c r="G20" s="17"/>
      <c r="H20" s="12"/>
      <c r="I20" s="12"/>
      <c r="J20" s="12"/>
      <c r="K20" s="15"/>
      <c r="L20" s="33"/>
      <c r="M20" s="12"/>
      <c r="N20" s="12"/>
      <c r="O20" s="12"/>
      <c r="P20" s="12"/>
      <c r="Q20" s="12"/>
    </row>
    <row r="21" spans="1:17" x14ac:dyDescent="0.3">
      <c r="A21" s="12"/>
      <c r="C21" s="17"/>
      <c r="D21" s="17"/>
      <c r="E21" s="17"/>
      <c r="F21" s="17"/>
      <c r="G21" s="17"/>
      <c r="H21" s="12"/>
      <c r="I21" s="12"/>
      <c r="J21" s="12"/>
      <c r="K21" s="15"/>
      <c r="L21" s="33"/>
      <c r="M21" s="12"/>
      <c r="N21" s="12"/>
      <c r="O21" s="12"/>
      <c r="P21" s="12"/>
      <c r="Q21" s="12"/>
    </row>
    <row r="22" spans="1:17" x14ac:dyDescent="0.3">
      <c r="A22" s="12"/>
      <c r="C22" s="17"/>
      <c r="D22" s="17"/>
      <c r="E22" s="17"/>
      <c r="F22" s="17"/>
      <c r="G22" s="17"/>
      <c r="H22" s="12"/>
      <c r="I22" s="12"/>
      <c r="J22" s="12"/>
      <c r="K22" s="15"/>
      <c r="L22" s="33"/>
      <c r="M22" s="12"/>
      <c r="N22" s="12"/>
      <c r="O22" s="12"/>
      <c r="P22" s="12"/>
      <c r="Q22" s="12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74974822229687"/>
  </sheetPr>
  <dimension ref="A1:I42"/>
  <sheetViews>
    <sheetView workbookViewId="0">
      <selection activeCell="A3" sqref="A3"/>
    </sheetView>
  </sheetViews>
  <sheetFormatPr defaultRowHeight="16.5" x14ac:dyDescent="0.3"/>
  <cols>
    <col min="1" max="1" width="15.5" style="85" customWidth="1"/>
    <col min="2" max="2" width="8.375" style="85" customWidth="1"/>
    <col min="3" max="3" width="23" style="85" customWidth="1"/>
    <col min="4" max="4" width="28.875" style="86" customWidth="1"/>
    <col min="5" max="5" width="33.125" style="86" customWidth="1"/>
    <col min="6" max="8" width="24" style="87" customWidth="1"/>
    <col min="9" max="9" width="17.75" style="87" customWidth="1"/>
    <col min="10" max="16384" width="9" style="87"/>
  </cols>
  <sheetData>
    <row r="1" spans="1:9" s="1" customFormat="1" ht="82.5" x14ac:dyDescent="0.3">
      <c r="A1" s="34" t="s">
        <v>39</v>
      </c>
      <c r="B1" s="19" t="s">
        <v>45</v>
      </c>
      <c r="C1" s="11" t="s">
        <v>709</v>
      </c>
      <c r="D1" s="19" t="s">
        <v>61</v>
      </c>
      <c r="E1" s="4" t="s">
        <v>252</v>
      </c>
      <c r="F1" s="19" t="s">
        <v>170</v>
      </c>
      <c r="G1" s="19" t="s">
        <v>175</v>
      </c>
      <c r="H1" s="19" t="s">
        <v>109</v>
      </c>
      <c r="I1" s="19" t="s">
        <v>5</v>
      </c>
    </row>
    <row r="2" spans="1:9" s="1" customFormat="1" ht="21" customHeight="1" x14ac:dyDescent="0.3">
      <c r="A2" s="107" t="s">
        <v>40</v>
      </c>
      <c r="B2" s="97" t="s">
        <v>46</v>
      </c>
      <c r="C2" s="97" t="s">
        <v>58</v>
      </c>
      <c r="D2" s="97" t="s">
        <v>62</v>
      </c>
      <c r="E2" s="108" t="s">
        <v>104</v>
      </c>
      <c r="F2" s="97" t="s">
        <v>171</v>
      </c>
      <c r="G2" s="97" t="s">
        <v>176</v>
      </c>
      <c r="H2" s="108" t="s">
        <v>110</v>
      </c>
      <c r="I2" s="97" t="s">
        <v>64</v>
      </c>
    </row>
    <row r="3" spans="1:9" s="1" customFormat="1" ht="40.5" customHeight="1" x14ac:dyDescent="0.3">
      <c r="A3" s="77" t="s">
        <v>366</v>
      </c>
      <c r="B3" s="22">
        <v>1</v>
      </c>
      <c r="C3" s="17">
        <v>3</v>
      </c>
      <c r="D3" s="18" t="s">
        <v>367</v>
      </c>
      <c r="E3" s="15" t="s">
        <v>368</v>
      </c>
      <c r="F3" s="22" t="s">
        <v>369</v>
      </c>
      <c r="G3" s="22" t="s">
        <v>370</v>
      </c>
      <c r="H3" s="131" t="s">
        <v>371</v>
      </c>
      <c r="I3" s="22"/>
    </row>
    <row r="4" spans="1:9" s="1" customFormat="1" ht="40.5" customHeight="1" x14ac:dyDescent="0.3">
      <c r="A4" s="77" t="s">
        <v>372</v>
      </c>
      <c r="B4" s="22">
        <v>1</v>
      </c>
      <c r="C4" s="17">
        <v>0</v>
      </c>
      <c r="D4" s="18" t="s">
        <v>606</v>
      </c>
      <c r="E4" s="15" t="s">
        <v>672</v>
      </c>
      <c r="F4" s="77" t="s">
        <v>373</v>
      </c>
      <c r="G4" s="77" t="s">
        <v>374</v>
      </c>
      <c r="H4" s="18" t="s">
        <v>678</v>
      </c>
      <c r="I4" s="22"/>
    </row>
    <row r="5" spans="1:9" s="1" customFormat="1" ht="49.5" x14ac:dyDescent="0.3">
      <c r="A5" s="77" t="s">
        <v>375</v>
      </c>
      <c r="B5" s="22">
        <v>1</v>
      </c>
      <c r="C5" s="17">
        <v>1</v>
      </c>
      <c r="D5" s="18" t="s">
        <v>673</v>
      </c>
      <c r="E5" s="15" t="s">
        <v>674</v>
      </c>
      <c r="F5" s="77" t="s">
        <v>376</v>
      </c>
      <c r="G5" s="77" t="s">
        <v>377</v>
      </c>
      <c r="H5" s="18" t="s">
        <v>679</v>
      </c>
      <c r="I5" s="22"/>
    </row>
    <row r="6" spans="1:9" s="1" customFormat="1" ht="40.5" customHeight="1" x14ac:dyDescent="0.3">
      <c r="A6" s="77" t="s">
        <v>378</v>
      </c>
      <c r="B6" s="22">
        <v>1</v>
      </c>
      <c r="C6" s="17">
        <v>2</v>
      </c>
      <c r="D6" s="18" t="s">
        <v>607</v>
      </c>
      <c r="E6" s="15" t="s">
        <v>675</v>
      </c>
      <c r="F6" s="77" t="s">
        <v>379</v>
      </c>
      <c r="G6" s="77" t="s">
        <v>380</v>
      </c>
      <c r="H6" s="18" t="s">
        <v>680</v>
      </c>
      <c r="I6" s="22"/>
    </row>
    <row r="7" spans="1:9" s="1" customFormat="1" ht="40.5" customHeight="1" x14ac:dyDescent="0.3">
      <c r="A7" s="77" t="s">
        <v>381</v>
      </c>
      <c r="B7" s="22">
        <v>1</v>
      </c>
      <c r="C7" s="17">
        <v>3</v>
      </c>
      <c r="D7" s="18" t="s">
        <v>608</v>
      </c>
      <c r="E7" s="15" t="s">
        <v>676</v>
      </c>
      <c r="F7" s="77" t="s">
        <v>382</v>
      </c>
      <c r="G7" s="77" t="s">
        <v>383</v>
      </c>
      <c r="H7" s="18" t="s">
        <v>677</v>
      </c>
      <c r="I7" s="22"/>
    </row>
    <row r="8" spans="1:9" s="1" customFormat="1" ht="50.25" customHeight="1" x14ac:dyDescent="0.3">
      <c r="A8" s="132" t="s">
        <v>384</v>
      </c>
      <c r="B8" s="133">
        <v>4</v>
      </c>
      <c r="C8" s="133">
        <v>1</v>
      </c>
      <c r="D8" s="134" t="s">
        <v>691</v>
      </c>
      <c r="E8" s="135" t="s">
        <v>681</v>
      </c>
      <c r="F8" s="132" t="s">
        <v>385</v>
      </c>
      <c r="G8" s="132" t="s">
        <v>386</v>
      </c>
      <c r="H8" s="134" t="s">
        <v>682</v>
      </c>
      <c r="I8" s="133"/>
    </row>
    <row r="9" spans="1:9" s="1" customFormat="1" ht="51.75" customHeight="1" x14ac:dyDescent="0.3">
      <c r="A9" s="132" t="s">
        <v>387</v>
      </c>
      <c r="B9" s="133">
        <v>4</v>
      </c>
      <c r="C9" s="133">
        <v>2</v>
      </c>
      <c r="D9" s="134" t="s">
        <v>609</v>
      </c>
      <c r="E9" s="135" t="s">
        <v>683</v>
      </c>
      <c r="F9" s="132" t="s">
        <v>388</v>
      </c>
      <c r="G9" s="132" t="s">
        <v>389</v>
      </c>
      <c r="H9" s="134" t="s">
        <v>684</v>
      </c>
      <c r="I9" s="133"/>
    </row>
    <row r="10" spans="1:9" s="1" customFormat="1" ht="47.25" customHeight="1" x14ac:dyDescent="0.3">
      <c r="A10" s="132" t="s">
        <v>390</v>
      </c>
      <c r="B10" s="133">
        <v>4</v>
      </c>
      <c r="C10" s="133">
        <v>3</v>
      </c>
      <c r="D10" s="134" t="s">
        <v>610</v>
      </c>
      <c r="E10" s="135" t="s">
        <v>685</v>
      </c>
      <c r="F10" s="132" t="s">
        <v>391</v>
      </c>
      <c r="G10" s="132" t="s">
        <v>392</v>
      </c>
      <c r="H10" s="134" t="s">
        <v>686</v>
      </c>
      <c r="I10" s="133"/>
    </row>
    <row r="11" spans="1:9" s="1" customFormat="1" ht="49.5" x14ac:dyDescent="0.3">
      <c r="A11" s="132" t="s">
        <v>393</v>
      </c>
      <c r="B11" s="133">
        <v>4</v>
      </c>
      <c r="C11" s="133">
        <v>0</v>
      </c>
      <c r="D11" s="134" t="s">
        <v>611</v>
      </c>
      <c r="E11" s="135" t="s">
        <v>687</v>
      </c>
      <c r="F11" s="132" t="s">
        <v>394</v>
      </c>
      <c r="G11" s="132" t="s">
        <v>395</v>
      </c>
      <c r="H11" s="134" t="s">
        <v>688</v>
      </c>
      <c r="I11" s="133"/>
    </row>
    <row r="12" spans="1:9" s="84" customFormat="1" ht="40.5" customHeight="1" x14ac:dyDescent="0.3">
      <c r="A12" s="132" t="s">
        <v>396</v>
      </c>
      <c r="B12" s="133">
        <v>4</v>
      </c>
      <c r="C12" s="133">
        <v>1</v>
      </c>
      <c r="D12" s="134" t="s">
        <v>612</v>
      </c>
      <c r="E12" s="135" t="s">
        <v>689</v>
      </c>
      <c r="F12" s="132" t="s">
        <v>397</v>
      </c>
      <c r="G12" s="132" t="s">
        <v>398</v>
      </c>
      <c r="H12" s="134" t="s">
        <v>690</v>
      </c>
      <c r="I12" s="133"/>
    </row>
    <row r="13" spans="1:9" x14ac:dyDescent="0.3">
      <c r="A13" s="104"/>
      <c r="C13" s="105"/>
      <c r="D13" s="106"/>
      <c r="E13" s="106"/>
      <c r="F13" s="106"/>
      <c r="G13" s="106"/>
      <c r="H13" s="106"/>
      <c r="I13" s="85"/>
    </row>
    <row r="14" spans="1:9" x14ac:dyDescent="0.3">
      <c r="A14" s="104"/>
      <c r="C14" s="105"/>
      <c r="D14" s="106"/>
      <c r="E14" s="106"/>
      <c r="F14" s="106"/>
      <c r="G14" s="106"/>
      <c r="H14" s="106"/>
      <c r="I14" s="85"/>
    </row>
    <row r="15" spans="1:9" x14ac:dyDescent="0.3">
      <c r="A15" s="104"/>
      <c r="C15" s="105"/>
      <c r="D15" s="106"/>
      <c r="E15" s="106"/>
      <c r="F15" s="106"/>
      <c r="G15" s="106"/>
      <c r="H15" s="106"/>
      <c r="I15" s="85"/>
    </row>
    <row r="16" spans="1:9" x14ac:dyDescent="0.3">
      <c r="A16" s="104"/>
      <c r="C16" s="105"/>
      <c r="D16" s="106"/>
      <c r="E16" s="106"/>
      <c r="F16" s="106"/>
      <c r="G16" s="106"/>
      <c r="H16" s="106"/>
      <c r="I16" s="85"/>
    </row>
    <row r="17" spans="1:9" x14ac:dyDescent="0.3">
      <c r="A17" s="104"/>
      <c r="C17" s="105"/>
      <c r="D17" s="106"/>
      <c r="E17" s="106"/>
      <c r="F17" s="106"/>
      <c r="G17" s="106"/>
      <c r="H17" s="106"/>
      <c r="I17" s="85"/>
    </row>
    <row r="18" spans="1:9" x14ac:dyDescent="0.3">
      <c r="A18" s="104"/>
      <c r="C18" s="105"/>
      <c r="D18" s="106"/>
      <c r="E18" s="106"/>
      <c r="F18" s="106"/>
      <c r="G18" s="106"/>
      <c r="H18" s="106"/>
      <c r="I18" s="85"/>
    </row>
    <row r="19" spans="1:9" x14ac:dyDescent="0.3">
      <c r="A19" s="104"/>
      <c r="C19" s="105"/>
      <c r="D19" s="106"/>
      <c r="E19" s="106"/>
      <c r="F19" s="106"/>
      <c r="G19" s="106"/>
      <c r="H19" s="106"/>
      <c r="I19" s="85"/>
    </row>
    <row r="20" spans="1:9" x14ac:dyDescent="0.3">
      <c r="A20" s="104"/>
      <c r="C20" s="105"/>
      <c r="D20" s="106"/>
      <c r="E20" s="106"/>
      <c r="F20" s="106"/>
      <c r="G20" s="106"/>
      <c r="H20" s="106"/>
      <c r="I20" s="85"/>
    </row>
    <row r="21" spans="1:9" x14ac:dyDescent="0.3">
      <c r="A21" s="104"/>
      <c r="C21" s="105"/>
      <c r="D21" s="106"/>
      <c r="E21" s="106"/>
      <c r="F21" s="106"/>
      <c r="G21" s="106"/>
      <c r="H21" s="106"/>
      <c r="I21" s="85"/>
    </row>
    <row r="22" spans="1:9" x14ac:dyDescent="0.3">
      <c r="A22" s="104"/>
      <c r="C22" s="105"/>
      <c r="D22" s="106"/>
      <c r="E22" s="106"/>
      <c r="F22" s="106"/>
      <c r="G22" s="106"/>
      <c r="H22" s="106"/>
      <c r="I22" s="85"/>
    </row>
    <row r="23" spans="1:9" x14ac:dyDescent="0.3">
      <c r="A23" s="104"/>
      <c r="C23" s="105"/>
      <c r="D23" s="106"/>
      <c r="E23" s="106"/>
      <c r="F23" s="106"/>
      <c r="G23" s="106"/>
      <c r="H23" s="106"/>
      <c r="I23" s="85"/>
    </row>
    <row r="24" spans="1:9" x14ac:dyDescent="0.3">
      <c r="A24" s="104"/>
      <c r="C24" s="105"/>
      <c r="D24" s="106"/>
      <c r="E24" s="106"/>
      <c r="F24" s="106"/>
      <c r="G24" s="106"/>
      <c r="H24" s="106"/>
      <c r="I24" s="85"/>
    </row>
    <row r="25" spans="1:9" x14ac:dyDescent="0.3">
      <c r="A25" s="104"/>
      <c r="C25" s="105"/>
      <c r="D25" s="106"/>
      <c r="E25" s="106"/>
      <c r="F25" s="106"/>
      <c r="G25" s="106"/>
      <c r="H25" s="106"/>
      <c r="I25" s="85"/>
    </row>
    <row r="26" spans="1:9" x14ac:dyDescent="0.3">
      <c r="A26" s="104"/>
      <c r="C26" s="105"/>
      <c r="D26" s="106"/>
      <c r="E26" s="106"/>
      <c r="F26" s="106"/>
      <c r="G26" s="106"/>
      <c r="H26" s="106"/>
      <c r="I26" s="85"/>
    </row>
    <row r="27" spans="1:9" x14ac:dyDescent="0.3">
      <c r="A27" s="104"/>
      <c r="C27" s="105"/>
      <c r="D27" s="106"/>
      <c r="E27" s="106"/>
      <c r="F27" s="106"/>
      <c r="G27" s="106"/>
      <c r="H27" s="106"/>
      <c r="I27" s="85"/>
    </row>
    <row r="28" spans="1:9" x14ac:dyDescent="0.3">
      <c r="A28" s="104"/>
      <c r="C28" s="105"/>
      <c r="D28" s="106"/>
      <c r="E28" s="106"/>
      <c r="F28" s="106"/>
      <c r="G28" s="106"/>
      <c r="H28" s="106"/>
      <c r="I28" s="85"/>
    </row>
    <row r="29" spans="1:9" x14ac:dyDescent="0.3">
      <c r="A29" s="104"/>
      <c r="C29" s="105"/>
      <c r="D29" s="106"/>
      <c r="E29" s="106"/>
      <c r="F29" s="106"/>
      <c r="G29" s="106"/>
      <c r="H29" s="106"/>
      <c r="I29" s="85"/>
    </row>
    <row r="30" spans="1:9" x14ac:dyDescent="0.3">
      <c r="A30" s="104"/>
      <c r="C30" s="105"/>
      <c r="D30" s="106"/>
      <c r="E30" s="106"/>
      <c r="F30" s="106"/>
      <c r="G30" s="106"/>
      <c r="H30" s="106"/>
      <c r="I30" s="85"/>
    </row>
    <row r="31" spans="1:9" x14ac:dyDescent="0.3">
      <c r="A31" s="104"/>
      <c r="C31" s="105"/>
      <c r="D31" s="106"/>
      <c r="E31" s="106"/>
      <c r="F31" s="106"/>
      <c r="G31" s="106"/>
      <c r="H31" s="106"/>
      <c r="I31" s="85"/>
    </row>
    <row r="32" spans="1:9" x14ac:dyDescent="0.3">
      <c r="A32" s="104"/>
      <c r="C32" s="105"/>
      <c r="D32" s="106"/>
      <c r="E32" s="106"/>
      <c r="F32" s="106"/>
      <c r="G32" s="106"/>
      <c r="H32" s="106"/>
      <c r="I32" s="85"/>
    </row>
    <row r="33" spans="1:9" x14ac:dyDescent="0.3">
      <c r="A33" s="104"/>
      <c r="C33" s="105"/>
      <c r="D33" s="106"/>
      <c r="E33" s="106"/>
      <c r="F33" s="106"/>
      <c r="G33" s="106"/>
      <c r="H33" s="106"/>
      <c r="I33" s="85"/>
    </row>
    <row r="34" spans="1:9" x14ac:dyDescent="0.3">
      <c r="A34" s="104"/>
      <c r="C34" s="105"/>
      <c r="D34" s="106"/>
      <c r="E34" s="106"/>
      <c r="F34" s="106"/>
      <c r="G34" s="106"/>
      <c r="H34" s="106"/>
      <c r="I34" s="85"/>
    </row>
    <row r="35" spans="1:9" x14ac:dyDescent="0.3">
      <c r="A35" s="104"/>
      <c r="C35" s="105"/>
      <c r="D35" s="106"/>
      <c r="E35" s="106"/>
      <c r="F35" s="106"/>
      <c r="G35" s="106"/>
      <c r="H35" s="106"/>
      <c r="I35" s="85"/>
    </row>
    <row r="36" spans="1:9" x14ac:dyDescent="0.3">
      <c r="A36" s="104"/>
      <c r="C36" s="105"/>
      <c r="D36" s="106"/>
      <c r="E36" s="106"/>
      <c r="F36" s="106"/>
      <c r="G36" s="106"/>
      <c r="H36" s="106"/>
      <c r="I36" s="85"/>
    </row>
    <row r="37" spans="1:9" x14ac:dyDescent="0.3">
      <c r="A37" s="104"/>
      <c r="C37" s="105"/>
      <c r="D37" s="106"/>
      <c r="E37" s="106"/>
      <c r="F37" s="106"/>
      <c r="G37" s="106"/>
      <c r="H37" s="106"/>
      <c r="I37" s="85"/>
    </row>
    <row r="38" spans="1:9" x14ac:dyDescent="0.3">
      <c r="A38" s="104"/>
      <c r="C38" s="105"/>
      <c r="D38" s="106"/>
      <c r="E38" s="106"/>
      <c r="F38" s="106"/>
      <c r="G38" s="106"/>
      <c r="H38" s="106"/>
      <c r="I38" s="85"/>
    </row>
    <row r="39" spans="1:9" x14ac:dyDescent="0.3">
      <c r="A39" s="104"/>
      <c r="C39" s="105"/>
      <c r="D39" s="106"/>
      <c r="E39" s="106"/>
      <c r="F39" s="106"/>
      <c r="G39" s="106"/>
      <c r="H39" s="106"/>
      <c r="I39" s="85"/>
    </row>
    <row r="40" spans="1:9" x14ac:dyDescent="0.3">
      <c r="A40" s="104"/>
      <c r="C40" s="105"/>
      <c r="D40" s="106"/>
      <c r="E40" s="106"/>
      <c r="F40" s="106"/>
      <c r="G40" s="106"/>
      <c r="H40" s="106"/>
      <c r="I40" s="85"/>
    </row>
    <row r="41" spans="1:9" x14ac:dyDescent="0.3">
      <c r="A41" s="104"/>
      <c r="C41" s="105"/>
      <c r="D41" s="106"/>
      <c r="E41" s="106"/>
      <c r="F41" s="106"/>
      <c r="G41" s="106"/>
      <c r="H41" s="106"/>
      <c r="I41" s="85"/>
    </row>
    <row r="42" spans="1:9" x14ac:dyDescent="0.3">
      <c r="A42" s="104"/>
      <c r="C42" s="105"/>
      <c r="D42" s="106"/>
      <c r="E42" s="106"/>
      <c r="F42" s="106"/>
      <c r="G42" s="106"/>
      <c r="H42" s="106"/>
      <c r="I42" s="85"/>
    </row>
  </sheetData>
  <phoneticPr fontId="4" type="noConversion"/>
  <conditionalFormatting sqref="A3:A12">
    <cfRule type="duplicateValues" dxfId="91" priority="13"/>
  </conditionalFormatting>
  <conditionalFormatting sqref="F4:G4">
    <cfRule type="duplicateValues" dxfId="90" priority="9"/>
  </conditionalFormatting>
  <conditionalFormatting sqref="F5:G5">
    <cfRule type="duplicateValues" dxfId="89" priority="8"/>
  </conditionalFormatting>
  <conditionalFormatting sqref="F6:G6">
    <cfRule type="duplicateValues" dxfId="88" priority="7"/>
  </conditionalFormatting>
  <conditionalFormatting sqref="F7:G7">
    <cfRule type="duplicateValues" dxfId="87" priority="6"/>
  </conditionalFormatting>
  <conditionalFormatting sqref="F8:G8">
    <cfRule type="duplicateValues" dxfId="86" priority="5"/>
  </conditionalFormatting>
  <conditionalFormatting sqref="F9:G9">
    <cfRule type="duplicateValues" dxfId="85" priority="4"/>
  </conditionalFormatting>
  <conditionalFormatting sqref="F10:G10">
    <cfRule type="duplicateValues" dxfId="84" priority="3"/>
  </conditionalFormatting>
  <conditionalFormatting sqref="F11:G11">
    <cfRule type="duplicateValues" dxfId="83" priority="2"/>
  </conditionalFormatting>
  <conditionalFormatting sqref="F12:G12">
    <cfRule type="duplicateValues" dxfId="82" priority="1"/>
  </conditionalFormatting>
  <conditionalFormatting sqref="F3:H3">
    <cfRule type="duplicateValues" dxfId="81" priority="25"/>
  </conditionalFormatting>
  <dataValidations count="1">
    <dataValidation type="whole" sqref="B3:B12" xr:uid="{00000000-0002-0000-0700-000000000000}">
      <formula1>1</formula1>
      <formula2>4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74974822229687"/>
  </sheetPr>
  <dimension ref="A1:O42"/>
  <sheetViews>
    <sheetView topLeftCell="C1" workbookViewId="0">
      <selection activeCell="M3" sqref="M3"/>
    </sheetView>
  </sheetViews>
  <sheetFormatPr defaultRowHeight="16.5" x14ac:dyDescent="0.3"/>
  <cols>
    <col min="1" max="1" width="21.375" style="6" customWidth="1"/>
    <col min="2" max="2" width="24.25" style="6" customWidth="1"/>
    <col min="3" max="3" width="44" style="6" customWidth="1"/>
    <col min="4" max="4" width="27.625" style="6" customWidth="1"/>
    <col min="5" max="5" width="28" style="6" customWidth="1"/>
    <col min="6" max="6" width="18.875" style="6" customWidth="1"/>
    <col min="7" max="7" width="19.875" style="6" customWidth="1"/>
    <col min="8" max="8" width="18" style="6" customWidth="1"/>
    <col min="9" max="9" width="14.75" style="6" customWidth="1"/>
    <col min="10" max="10" width="32" style="6" customWidth="1"/>
    <col min="11" max="11" width="33.125" style="10" customWidth="1"/>
    <col min="12" max="12" width="24.875" style="10" customWidth="1"/>
    <col min="13" max="13" width="24.875" style="16" customWidth="1"/>
    <col min="14" max="14" width="24" style="16" customWidth="1"/>
    <col min="15" max="15" width="26" style="16" customWidth="1"/>
    <col min="16" max="16384" width="9" style="1"/>
  </cols>
  <sheetData>
    <row r="1" spans="1:15" ht="99" x14ac:dyDescent="0.3">
      <c r="A1" s="75" t="s">
        <v>39</v>
      </c>
      <c r="B1" s="20" t="s">
        <v>307</v>
      </c>
      <c r="C1" s="24" t="s">
        <v>308</v>
      </c>
      <c r="D1" s="24" t="s">
        <v>309</v>
      </c>
      <c r="E1" s="24" t="s">
        <v>310</v>
      </c>
      <c r="F1" s="24" t="s">
        <v>311</v>
      </c>
      <c r="G1" s="20" t="s">
        <v>93</v>
      </c>
      <c r="H1" s="11" t="s">
        <v>51</v>
      </c>
      <c r="I1" s="20" t="s">
        <v>312</v>
      </c>
      <c r="J1" s="11" t="s">
        <v>61</v>
      </c>
      <c r="K1" s="4" t="s">
        <v>252</v>
      </c>
      <c r="L1" s="20" t="s">
        <v>170</v>
      </c>
      <c r="M1" s="20" t="s">
        <v>175</v>
      </c>
      <c r="N1" s="20" t="s">
        <v>109</v>
      </c>
      <c r="O1" s="20" t="s">
        <v>5</v>
      </c>
    </row>
    <row r="2" spans="1:15" ht="21" customHeight="1" x14ac:dyDescent="0.3">
      <c r="A2" s="76" t="s">
        <v>40</v>
      </c>
      <c r="B2" s="21" t="s">
        <v>69</v>
      </c>
      <c r="C2" s="25" t="s">
        <v>74</v>
      </c>
      <c r="D2" s="25" t="s">
        <v>79</v>
      </c>
      <c r="E2" s="25" t="s">
        <v>84</v>
      </c>
      <c r="F2" s="25" t="s">
        <v>89</v>
      </c>
      <c r="G2" s="21" t="s">
        <v>94</v>
      </c>
      <c r="H2" s="4" t="s">
        <v>52</v>
      </c>
      <c r="I2" s="21" t="s">
        <v>58</v>
      </c>
      <c r="J2" s="21" t="s">
        <v>62</v>
      </c>
      <c r="K2" s="4" t="s">
        <v>104</v>
      </c>
      <c r="L2" s="21" t="s">
        <v>171</v>
      </c>
      <c r="M2" s="21" t="s">
        <v>176</v>
      </c>
      <c r="N2" s="4" t="s">
        <v>110</v>
      </c>
      <c r="O2" s="21" t="s">
        <v>64</v>
      </c>
    </row>
    <row r="3" spans="1:15" ht="50.1" customHeight="1" x14ac:dyDescent="0.3">
      <c r="A3" s="77" t="s">
        <v>399</v>
      </c>
      <c r="B3" s="8">
        <v>2</v>
      </c>
      <c r="C3" s="17">
        <v>0</v>
      </c>
      <c r="D3" s="17"/>
      <c r="E3" s="17"/>
      <c r="F3" s="17">
        <v>2</v>
      </c>
      <c r="G3" s="17">
        <v>24</v>
      </c>
      <c r="H3" s="12" t="s">
        <v>749</v>
      </c>
      <c r="I3" s="17">
        <v>4</v>
      </c>
      <c r="J3" s="17" t="s">
        <v>750</v>
      </c>
      <c r="K3" s="22"/>
      <c r="L3" s="77" t="s">
        <v>400</v>
      </c>
      <c r="M3" s="77" t="s">
        <v>401</v>
      </c>
      <c r="N3" s="78"/>
      <c r="O3" s="18"/>
    </row>
    <row r="4" spans="1:15" ht="40.5" customHeight="1" x14ac:dyDescent="0.3">
      <c r="A4" s="77"/>
      <c r="B4" s="8"/>
      <c r="C4" s="17"/>
      <c r="D4" s="17"/>
      <c r="E4" s="17"/>
      <c r="F4" s="17"/>
      <c r="G4" s="17"/>
      <c r="H4" s="12"/>
      <c r="I4" s="17"/>
      <c r="J4" s="17"/>
      <c r="K4" s="15"/>
      <c r="L4" s="18"/>
      <c r="M4" s="18"/>
      <c r="N4" s="18"/>
      <c r="O4" s="18"/>
    </row>
    <row r="5" spans="1:15" ht="40.5" customHeight="1" x14ac:dyDescent="0.3">
      <c r="A5" s="77"/>
      <c r="B5" s="8"/>
      <c r="C5" s="17"/>
      <c r="D5" s="17"/>
      <c r="E5" s="17"/>
      <c r="F5" s="17"/>
      <c r="G5" s="17"/>
      <c r="H5" s="12"/>
      <c r="I5" s="17"/>
      <c r="J5" s="17"/>
      <c r="K5" s="15"/>
      <c r="L5" s="18"/>
      <c r="M5" s="18"/>
      <c r="N5" s="18"/>
      <c r="O5" s="18"/>
    </row>
    <row r="6" spans="1:15" ht="40.5" customHeight="1" x14ac:dyDescent="0.3">
      <c r="A6" s="77"/>
      <c r="B6" s="8"/>
      <c r="C6" s="17"/>
      <c r="D6" s="17"/>
      <c r="E6" s="17"/>
      <c r="F6" s="17"/>
      <c r="G6" s="17"/>
      <c r="H6" s="12"/>
      <c r="I6" s="17"/>
      <c r="J6" s="17"/>
      <c r="K6" s="15"/>
      <c r="L6" s="18"/>
      <c r="M6" s="18"/>
      <c r="N6" s="18"/>
      <c r="O6" s="18"/>
    </row>
    <row r="7" spans="1:15" ht="40.5" customHeight="1" x14ac:dyDescent="0.3">
      <c r="A7" s="77"/>
      <c r="B7" s="8"/>
      <c r="C7" s="17"/>
      <c r="D7" s="17"/>
      <c r="E7" s="17"/>
      <c r="F7" s="17"/>
      <c r="G7" s="17"/>
      <c r="H7" s="12"/>
      <c r="I7" s="17"/>
      <c r="J7" s="17"/>
      <c r="K7" s="15"/>
      <c r="L7" s="18"/>
      <c r="M7" s="18"/>
      <c r="N7" s="18"/>
      <c r="O7" s="18"/>
    </row>
    <row r="8" spans="1:15" ht="40.5" customHeight="1" x14ac:dyDescent="0.3">
      <c r="A8" s="77"/>
      <c r="B8" s="8"/>
      <c r="C8" s="17"/>
      <c r="D8" s="17"/>
      <c r="E8" s="17"/>
      <c r="F8" s="17"/>
      <c r="G8" s="17"/>
      <c r="H8" s="12"/>
      <c r="I8" s="17"/>
      <c r="J8" s="17"/>
      <c r="K8" s="15"/>
      <c r="L8" s="18"/>
      <c r="M8" s="18"/>
      <c r="N8" s="18"/>
      <c r="O8" s="18"/>
    </row>
    <row r="9" spans="1:15" ht="40.5" customHeight="1" x14ac:dyDescent="0.3">
      <c r="A9" s="77"/>
      <c r="B9" s="8"/>
      <c r="C9" s="17"/>
      <c r="D9" s="17"/>
      <c r="E9" s="17"/>
      <c r="F9" s="17"/>
      <c r="G9" s="17"/>
      <c r="H9" s="12"/>
      <c r="I9" s="17"/>
      <c r="J9" s="17"/>
      <c r="K9" s="15"/>
      <c r="L9" s="18"/>
      <c r="M9" s="18"/>
      <c r="N9" s="18"/>
      <c r="O9" s="18"/>
    </row>
    <row r="10" spans="1:15" ht="40.5" customHeight="1" x14ac:dyDescent="0.3">
      <c r="A10" s="77"/>
      <c r="B10" s="8"/>
      <c r="C10" s="17"/>
      <c r="D10" s="17"/>
      <c r="E10" s="17"/>
      <c r="F10" s="17"/>
      <c r="G10" s="17"/>
      <c r="H10" s="12"/>
      <c r="I10" s="17"/>
      <c r="J10" s="17"/>
      <c r="K10" s="15"/>
      <c r="L10" s="18"/>
      <c r="M10" s="18"/>
      <c r="N10" s="18"/>
      <c r="O10" s="18"/>
    </row>
    <row r="11" spans="1:15" ht="40.5" customHeight="1" x14ac:dyDescent="0.3">
      <c r="A11" s="77"/>
      <c r="B11" s="8"/>
      <c r="C11" s="17"/>
      <c r="D11" s="17"/>
      <c r="E11" s="17"/>
      <c r="F11" s="17"/>
      <c r="G11" s="17"/>
      <c r="H11" s="12"/>
      <c r="I11" s="17"/>
      <c r="J11" s="17"/>
      <c r="K11" s="15"/>
      <c r="L11" s="18"/>
      <c r="M11" s="18"/>
      <c r="N11" s="18"/>
      <c r="O11" s="18"/>
    </row>
    <row r="12" spans="1:15" ht="40.5" customHeight="1" x14ac:dyDescent="0.3">
      <c r="A12" s="77"/>
      <c r="B12" s="8"/>
      <c r="C12" s="17"/>
      <c r="D12" s="17"/>
      <c r="E12" s="17"/>
      <c r="F12" s="17"/>
      <c r="G12" s="17"/>
      <c r="H12" s="12"/>
      <c r="I12" s="17"/>
      <c r="J12" s="17"/>
      <c r="K12" s="15"/>
      <c r="L12" s="18"/>
      <c r="M12" s="18"/>
      <c r="N12" s="18"/>
      <c r="O12" s="18"/>
    </row>
    <row r="13" spans="1:15" x14ac:dyDescent="0.3">
      <c r="A13" s="35"/>
      <c r="C13" s="17"/>
      <c r="D13" s="17"/>
      <c r="E13" s="17"/>
      <c r="F13" s="17"/>
      <c r="G13" s="17"/>
      <c r="H13" s="12"/>
      <c r="I13" s="12"/>
      <c r="J13" s="12"/>
      <c r="K13" s="15"/>
      <c r="L13" s="15"/>
      <c r="M13" s="15"/>
      <c r="N13" s="15"/>
      <c r="O13" s="15"/>
    </row>
    <row r="14" spans="1:15" x14ac:dyDescent="0.3">
      <c r="A14" s="35"/>
      <c r="C14" s="17"/>
      <c r="D14" s="17"/>
      <c r="E14" s="17"/>
      <c r="F14" s="17"/>
      <c r="G14" s="17"/>
      <c r="H14" s="12"/>
      <c r="I14" s="12"/>
      <c r="J14" s="12"/>
      <c r="K14" s="15"/>
      <c r="L14" s="15"/>
      <c r="M14" s="15"/>
      <c r="N14" s="15"/>
      <c r="O14" s="15"/>
    </row>
    <row r="15" spans="1:15" x14ac:dyDescent="0.3">
      <c r="A15" s="35"/>
      <c r="C15" s="17"/>
      <c r="D15" s="17"/>
      <c r="E15" s="17"/>
      <c r="F15" s="17"/>
      <c r="G15" s="17"/>
      <c r="H15" s="12"/>
      <c r="I15" s="12"/>
      <c r="J15" s="12"/>
      <c r="K15" s="15"/>
      <c r="L15" s="15"/>
      <c r="M15" s="15"/>
      <c r="N15" s="15"/>
      <c r="O15" s="15"/>
    </row>
    <row r="16" spans="1:15" x14ac:dyDescent="0.3">
      <c r="A16" s="35"/>
      <c r="C16" s="17"/>
      <c r="D16" s="17"/>
      <c r="E16" s="17"/>
      <c r="F16" s="17"/>
      <c r="G16" s="17"/>
      <c r="H16" s="12"/>
      <c r="I16" s="12"/>
      <c r="J16" s="12"/>
      <c r="K16" s="15"/>
      <c r="L16" s="15"/>
      <c r="M16" s="15"/>
      <c r="N16" s="15"/>
      <c r="O16" s="15"/>
    </row>
    <row r="17" spans="1:15" x14ac:dyDescent="0.3">
      <c r="A17" s="35"/>
      <c r="C17" s="17"/>
      <c r="D17" s="17"/>
      <c r="E17" s="17"/>
      <c r="F17" s="17"/>
      <c r="G17" s="17"/>
      <c r="H17" s="12"/>
      <c r="I17" s="12"/>
      <c r="J17" s="12"/>
      <c r="K17" s="15"/>
      <c r="L17" s="15"/>
      <c r="M17" s="15"/>
      <c r="N17" s="15"/>
      <c r="O17" s="15"/>
    </row>
    <row r="18" spans="1:15" x14ac:dyDescent="0.3">
      <c r="A18" s="35"/>
      <c r="C18" s="17"/>
      <c r="D18" s="17"/>
      <c r="E18" s="17"/>
      <c r="F18" s="17"/>
      <c r="G18" s="17"/>
      <c r="H18" s="12"/>
      <c r="I18" s="12"/>
      <c r="J18" s="12"/>
      <c r="K18" s="15"/>
      <c r="L18" s="15"/>
      <c r="M18" s="15"/>
      <c r="N18" s="15"/>
      <c r="O18" s="15"/>
    </row>
    <row r="19" spans="1:15" x14ac:dyDescent="0.3">
      <c r="A19" s="35"/>
      <c r="C19" s="17"/>
      <c r="D19" s="17"/>
      <c r="E19" s="17"/>
      <c r="F19" s="17"/>
      <c r="G19" s="17"/>
      <c r="H19" s="12"/>
      <c r="I19" s="12"/>
      <c r="J19" s="12"/>
      <c r="K19" s="15"/>
      <c r="L19" s="15"/>
      <c r="M19" s="15"/>
      <c r="N19" s="15"/>
      <c r="O19" s="15"/>
    </row>
    <row r="20" spans="1:15" x14ac:dyDescent="0.3">
      <c r="A20" s="35"/>
      <c r="C20" s="17"/>
      <c r="D20" s="17"/>
      <c r="E20" s="17"/>
      <c r="F20" s="17"/>
      <c r="G20" s="17"/>
      <c r="H20" s="12"/>
      <c r="I20" s="12"/>
      <c r="J20" s="12"/>
      <c r="K20" s="15"/>
      <c r="L20" s="15"/>
      <c r="M20" s="15"/>
      <c r="N20" s="15"/>
      <c r="O20" s="15"/>
    </row>
    <row r="21" spans="1:15" x14ac:dyDescent="0.3">
      <c r="A21" s="35"/>
      <c r="C21" s="17"/>
      <c r="D21" s="17"/>
      <c r="E21" s="17"/>
      <c r="F21" s="17"/>
      <c r="G21" s="17"/>
      <c r="H21" s="12"/>
      <c r="I21" s="12"/>
      <c r="J21" s="12"/>
      <c r="K21" s="15"/>
      <c r="L21" s="15"/>
      <c r="M21" s="15"/>
      <c r="N21" s="15"/>
      <c r="O21" s="15"/>
    </row>
    <row r="22" spans="1:15" x14ac:dyDescent="0.3">
      <c r="A22" s="35"/>
      <c r="C22" s="17"/>
      <c r="D22" s="17"/>
      <c r="E22" s="17"/>
      <c r="F22" s="17"/>
      <c r="G22" s="17"/>
      <c r="H22" s="12"/>
      <c r="I22" s="12"/>
      <c r="J22" s="12"/>
      <c r="K22" s="15"/>
      <c r="L22" s="15"/>
      <c r="M22" s="15"/>
      <c r="N22" s="15"/>
      <c r="O22" s="15"/>
    </row>
    <row r="23" spans="1:15" x14ac:dyDescent="0.3">
      <c r="K23" s="15"/>
      <c r="N23" s="15"/>
    </row>
    <row r="24" spans="1:15" x14ac:dyDescent="0.3">
      <c r="K24" s="15"/>
      <c r="N24" s="15"/>
    </row>
    <row r="25" spans="1:15" x14ac:dyDescent="0.3">
      <c r="K25" s="15"/>
      <c r="N25" s="15"/>
    </row>
    <row r="26" spans="1:15" x14ac:dyDescent="0.3">
      <c r="K26" s="15"/>
      <c r="N26" s="15"/>
    </row>
    <row r="27" spans="1:15" x14ac:dyDescent="0.3">
      <c r="K27" s="15"/>
      <c r="N27" s="15"/>
    </row>
    <row r="28" spans="1:15" x14ac:dyDescent="0.3">
      <c r="K28" s="15"/>
      <c r="N28" s="15"/>
    </row>
    <row r="29" spans="1:15" x14ac:dyDescent="0.3">
      <c r="K29" s="15"/>
      <c r="N29" s="15"/>
    </row>
    <row r="30" spans="1:15" x14ac:dyDescent="0.3">
      <c r="K30" s="15"/>
      <c r="N30" s="15"/>
    </row>
    <row r="31" spans="1:15" x14ac:dyDescent="0.3">
      <c r="K31" s="15"/>
      <c r="N31" s="15"/>
    </row>
    <row r="32" spans="1:15" x14ac:dyDescent="0.3">
      <c r="K32" s="15"/>
      <c r="N32" s="15"/>
    </row>
    <row r="33" spans="11:14" x14ac:dyDescent="0.3">
      <c r="K33" s="15"/>
      <c r="N33" s="15"/>
    </row>
    <row r="34" spans="11:14" x14ac:dyDescent="0.3">
      <c r="K34" s="15"/>
      <c r="N34" s="15"/>
    </row>
    <row r="35" spans="11:14" x14ac:dyDescent="0.3">
      <c r="K35" s="15"/>
      <c r="N35" s="15"/>
    </row>
    <row r="36" spans="11:14" x14ac:dyDescent="0.3">
      <c r="K36" s="15"/>
      <c r="N36" s="15"/>
    </row>
    <row r="37" spans="11:14" x14ac:dyDescent="0.3">
      <c r="K37" s="15"/>
      <c r="N37" s="15"/>
    </row>
    <row r="38" spans="11:14" x14ac:dyDescent="0.3">
      <c r="K38" s="15"/>
      <c r="N38" s="15"/>
    </row>
    <row r="39" spans="11:14" x14ac:dyDescent="0.3">
      <c r="K39" s="15"/>
      <c r="N39" s="15"/>
    </row>
    <row r="40" spans="11:14" x14ac:dyDescent="0.3">
      <c r="K40" s="15"/>
      <c r="N40" s="15"/>
    </row>
    <row r="41" spans="11:14" x14ac:dyDescent="0.3">
      <c r="K41" s="15"/>
      <c r="N41" s="15"/>
    </row>
    <row r="42" spans="11:14" x14ac:dyDescent="0.3">
      <c r="K42" s="15"/>
      <c r="N42" s="15"/>
    </row>
  </sheetData>
  <phoneticPr fontId="4" type="noConversion"/>
  <conditionalFormatting sqref="A3">
    <cfRule type="duplicateValues" dxfId="80" priority="5"/>
  </conditionalFormatting>
  <conditionalFormatting sqref="A4:A12">
    <cfRule type="duplicateValues" dxfId="79" priority="7"/>
  </conditionalFormatting>
  <conditionalFormatting sqref="K3">
    <cfRule type="duplicateValues" dxfId="78" priority="4"/>
  </conditionalFormatting>
  <conditionalFormatting sqref="L3">
    <cfRule type="duplicateValues" dxfId="77" priority="2"/>
  </conditionalFormatting>
  <conditionalFormatting sqref="M3">
    <cfRule type="duplicateValues" dxfId="76" priority="1"/>
  </conditionalFormatting>
  <dataValidations count="1">
    <dataValidation type="whole" sqref="B3:G12" xr:uid="{00000000-0002-0000-0800-000000000000}">
      <formula1>1</formula1>
      <formula2>4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74974822229687"/>
  </sheetPr>
  <dimension ref="A1:N24"/>
  <sheetViews>
    <sheetView workbookViewId="0">
      <selection activeCell="D24" sqref="D24"/>
    </sheetView>
  </sheetViews>
  <sheetFormatPr defaultRowHeight="16.5" x14ac:dyDescent="0.3"/>
  <cols>
    <col min="1" max="1" width="24" style="85" customWidth="1"/>
    <col min="2" max="2" width="21.5" style="85" customWidth="1"/>
    <col min="3" max="3" width="37" style="87" bestFit="1" customWidth="1"/>
    <col min="4" max="4" width="24.25" style="85" customWidth="1"/>
    <col min="5" max="5" width="20.5" style="86" customWidth="1"/>
    <col min="6" max="6" width="43.5" style="85" customWidth="1"/>
    <col min="7" max="7" width="28" style="85" customWidth="1"/>
    <col min="8" max="8" width="18.875" style="85" customWidth="1"/>
    <col min="9" max="10" width="19.875" style="85" customWidth="1"/>
    <col min="11" max="11" width="22.75" style="87" customWidth="1"/>
    <col min="12" max="12" width="30.875" style="85" customWidth="1"/>
    <col min="13" max="13" width="30" style="85" customWidth="1"/>
    <col min="14" max="14" width="39" style="87" customWidth="1"/>
    <col min="15" max="16384" width="9" style="87"/>
  </cols>
  <sheetData>
    <row r="1" spans="1:14" s="1" customFormat="1" ht="99" x14ac:dyDescent="0.3">
      <c r="A1" s="20" t="s">
        <v>180</v>
      </c>
      <c r="B1" s="20" t="s">
        <v>402</v>
      </c>
      <c r="C1" s="20" t="s">
        <v>186</v>
      </c>
      <c r="D1" s="20" t="s">
        <v>403</v>
      </c>
      <c r="E1" s="20" t="s">
        <v>404</v>
      </c>
      <c r="F1" s="24" t="s">
        <v>405</v>
      </c>
      <c r="G1" s="24" t="s">
        <v>406</v>
      </c>
      <c r="H1" s="24" t="s">
        <v>311</v>
      </c>
      <c r="I1" s="20" t="s">
        <v>210</v>
      </c>
      <c r="J1" s="20" t="s">
        <v>407</v>
      </c>
      <c r="K1" s="20" t="s">
        <v>408</v>
      </c>
      <c r="L1" s="20" t="s">
        <v>409</v>
      </c>
      <c r="M1" s="20" t="s">
        <v>410</v>
      </c>
      <c r="N1" s="27" t="s">
        <v>5</v>
      </c>
    </row>
    <row r="2" spans="1:14" s="1" customFormat="1" ht="24" customHeight="1" x14ac:dyDescent="0.3">
      <c r="A2" s="21" t="s">
        <v>181</v>
      </c>
      <c r="B2" s="21" t="s">
        <v>40</v>
      </c>
      <c r="C2" s="21" t="s">
        <v>187</v>
      </c>
      <c r="D2" s="21" t="s">
        <v>190</v>
      </c>
      <c r="E2" s="21" t="s">
        <v>196</v>
      </c>
      <c r="F2" s="25" t="s">
        <v>201</v>
      </c>
      <c r="G2" s="25" t="s">
        <v>206</v>
      </c>
      <c r="H2" s="25" t="s">
        <v>208</v>
      </c>
      <c r="I2" s="21" t="s">
        <v>211</v>
      </c>
      <c r="J2" s="21" t="s">
        <v>214</v>
      </c>
      <c r="K2" s="21" t="s">
        <v>219</v>
      </c>
      <c r="L2" s="21" t="s">
        <v>411</v>
      </c>
      <c r="M2" s="21" t="s">
        <v>412</v>
      </c>
      <c r="N2" s="28" t="s">
        <v>64</v>
      </c>
    </row>
    <row r="3" spans="1:14" s="1" customFormat="1" ht="30" customHeight="1" x14ac:dyDescent="0.3">
      <c r="A3" s="109" t="s">
        <v>369</v>
      </c>
      <c r="B3" s="110" t="s">
        <v>366</v>
      </c>
      <c r="C3" s="114" t="s">
        <v>413</v>
      </c>
      <c r="D3" s="112">
        <v>0</v>
      </c>
      <c r="E3" s="112">
        <v>0</v>
      </c>
      <c r="F3" s="112">
        <v>0</v>
      </c>
      <c r="G3" s="112"/>
      <c r="H3" s="112"/>
      <c r="I3" s="112"/>
      <c r="J3" s="112">
        <v>0</v>
      </c>
      <c r="K3" s="113">
        <v>33</v>
      </c>
      <c r="L3" s="109" t="s">
        <v>414</v>
      </c>
      <c r="M3" s="109" t="s">
        <v>415</v>
      </c>
      <c r="N3" s="114"/>
    </row>
    <row r="4" spans="1:14" s="1" customFormat="1" ht="30" customHeight="1" x14ac:dyDescent="0.3">
      <c r="A4" s="109" t="s">
        <v>370</v>
      </c>
      <c r="B4" s="110" t="s">
        <v>366</v>
      </c>
      <c r="C4" s="114" t="s">
        <v>416</v>
      </c>
      <c r="D4" s="112">
        <v>1</v>
      </c>
      <c r="E4" s="112">
        <v>2</v>
      </c>
      <c r="F4" s="112">
        <v>4</v>
      </c>
      <c r="G4" s="112"/>
      <c r="H4" s="112">
        <v>0</v>
      </c>
      <c r="I4" s="112">
        <v>14</v>
      </c>
      <c r="J4" s="112">
        <v>1</v>
      </c>
      <c r="K4" s="113">
        <v>25</v>
      </c>
      <c r="L4" s="109" t="s">
        <v>417</v>
      </c>
      <c r="M4" s="109" t="s">
        <v>418</v>
      </c>
      <c r="N4" s="114"/>
    </row>
    <row r="5" spans="1:14" s="1" customFormat="1" ht="25.5" customHeight="1" x14ac:dyDescent="0.3">
      <c r="A5" s="109" t="s">
        <v>373</v>
      </c>
      <c r="B5" s="115" t="s">
        <v>372</v>
      </c>
      <c r="C5" s="114" t="s">
        <v>613</v>
      </c>
      <c r="D5" s="112"/>
      <c r="E5" s="112"/>
      <c r="F5" s="112"/>
      <c r="G5" s="112"/>
      <c r="H5" s="112"/>
      <c r="I5" s="112"/>
      <c r="J5" s="112">
        <v>0</v>
      </c>
      <c r="K5" s="126">
        <v>70</v>
      </c>
      <c r="L5" s="109" t="s">
        <v>419</v>
      </c>
      <c r="M5" s="109" t="s">
        <v>420</v>
      </c>
      <c r="N5" s="114"/>
    </row>
    <row r="6" spans="1:14" s="1" customFormat="1" ht="25.5" customHeight="1" x14ac:dyDescent="0.3">
      <c r="A6" s="109" t="s">
        <v>374</v>
      </c>
      <c r="B6" s="115" t="s">
        <v>372</v>
      </c>
      <c r="C6" s="114" t="s">
        <v>614</v>
      </c>
      <c r="D6" s="112"/>
      <c r="E6" s="112"/>
      <c r="F6" s="112"/>
      <c r="G6" s="112"/>
      <c r="H6" s="112"/>
      <c r="I6" s="112"/>
      <c r="J6" s="112">
        <v>1</v>
      </c>
      <c r="K6" s="126">
        <v>40</v>
      </c>
      <c r="L6" s="109" t="s">
        <v>421</v>
      </c>
      <c r="M6" s="109" t="s">
        <v>422</v>
      </c>
      <c r="N6" s="114"/>
    </row>
    <row r="7" spans="1:14" s="1" customFormat="1" ht="25.5" customHeight="1" x14ac:dyDescent="0.3">
      <c r="A7" s="109" t="s">
        <v>376</v>
      </c>
      <c r="B7" s="110" t="s">
        <v>375</v>
      </c>
      <c r="C7" s="114" t="s">
        <v>615</v>
      </c>
      <c r="D7" s="112"/>
      <c r="E7" s="112"/>
      <c r="F7" s="112"/>
      <c r="G7" s="112"/>
      <c r="H7" s="112"/>
      <c r="I7" s="112"/>
      <c r="J7" s="112">
        <v>0</v>
      </c>
      <c r="K7" s="126">
        <v>70</v>
      </c>
      <c r="L7" s="109" t="s">
        <v>423</v>
      </c>
      <c r="M7" s="109" t="s">
        <v>424</v>
      </c>
      <c r="N7" s="114"/>
    </row>
    <row r="8" spans="1:14" s="1" customFormat="1" ht="25.5" customHeight="1" x14ac:dyDescent="0.3">
      <c r="A8" s="109" t="s">
        <v>377</v>
      </c>
      <c r="B8" s="110" t="s">
        <v>375</v>
      </c>
      <c r="C8" s="114" t="s">
        <v>616</v>
      </c>
      <c r="D8" s="116"/>
      <c r="E8" s="112"/>
      <c r="F8" s="112"/>
      <c r="G8" s="112"/>
      <c r="H8" s="112"/>
      <c r="I8" s="112"/>
      <c r="J8" s="112">
        <v>1</v>
      </c>
      <c r="K8" s="126">
        <v>40</v>
      </c>
      <c r="L8" s="109" t="s">
        <v>425</v>
      </c>
      <c r="M8" s="109" t="s">
        <v>426</v>
      </c>
      <c r="N8" s="114"/>
    </row>
    <row r="9" spans="1:14" s="1" customFormat="1" ht="25.5" customHeight="1" x14ac:dyDescent="0.3">
      <c r="A9" s="109" t="s">
        <v>379</v>
      </c>
      <c r="B9" s="117" t="s">
        <v>378</v>
      </c>
      <c r="C9" s="127" t="s">
        <v>617</v>
      </c>
      <c r="D9" s="118"/>
      <c r="E9" s="112"/>
      <c r="F9" s="112"/>
      <c r="G9" s="112"/>
      <c r="H9" s="112"/>
      <c r="I9" s="112"/>
      <c r="J9" s="112">
        <v>0</v>
      </c>
      <c r="K9" s="126">
        <v>70</v>
      </c>
      <c r="L9" s="109" t="s">
        <v>427</v>
      </c>
      <c r="M9" s="109" t="s">
        <v>428</v>
      </c>
      <c r="N9" s="114"/>
    </row>
    <row r="10" spans="1:14" s="1" customFormat="1" ht="25.5" customHeight="1" x14ac:dyDescent="0.3">
      <c r="A10" s="109" t="s">
        <v>380</v>
      </c>
      <c r="B10" s="117" t="s">
        <v>378</v>
      </c>
      <c r="C10" s="116" t="s">
        <v>618</v>
      </c>
      <c r="D10" s="116"/>
      <c r="E10" s="112"/>
      <c r="F10" s="112"/>
      <c r="G10" s="112"/>
      <c r="H10" s="112"/>
      <c r="I10" s="112"/>
      <c r="J10" s="112">
        <v>1</v>
      </c>
      <c r="K10" s="126">
        <v>40</v>
      </c>
      <c r="L10" s="109" t="s">
        <v>429</v>
      </c>
      <c r="M10" s="109" t="s">
        <v>430</v>
      </c>
      <c r="N10" s="114"/>
    </row>
    <row r="11" spans="1:14" s="1" customFormat="1" ht="25.5" customHeight="1" x14ac:dyDescent="0.3">
      <c r="A11" s="109" t="s">
        <v>382</v>
      </c>
      <c r="B11" s="110" t="s">
        <v>381</v>
      </c>
      <c r="C11" s="116" t="s">
        <v>619</v>
      </c>
      <c r="D11" s="102"/>
      <c r="E11" s="112"/>
      <c r="F11" s="112"/>
      <c r="G11" s="112"/>
      <c r="H11" s="112"/>
      <c r="I11" s="112"/>
      <c r="J11" s="112">
        <v>0</v>
      </c>
      <c r="K11" s="126">
        <v>70</v>
      </c>
      <c r="L11" s="109" t="s">
        <v>431</v>
      </c>
      <c r="M11" s="109" t="s">
        <v>432</v>
      </c>
      <c r="N11" s="114"/>
    </row>
    <row r="12" spans="1:14" s="1" customFormat="1" ht="25.5" customHeight="1" x14ac:dyDescent="0.3">
      <c r="A12" s="109" t="s">
        <v>383</v>
      </c>
      <c r="B12" s="110" t="s">
        <v>381</v>
      </c>
      <c r="C12" s="116" t="s">
        <v>620</v>
      </c>
      <c r="D12" s="116"/>
      <c r="E12" s="112"/>
      <c r="F12" s="112"/>
      <c r="G12" s="112"/>
      <c r="H12" s="112"/>
      <c r="I12" s="112"/>
      <c r="J12" s="112">
        <v>1</v>
      </c>
      <c r="K12" s="126">
        <v>40</v>
      </c>
      <c r="L12" s="109" t="s">
        <v>433</v>
      </c>
      <c r="M12" s="109" t="s">
        <v>434</v>
      </c>
      <c r="N12" s="114"/>
    </row>
    <row r="13" spans="1:14" s="1" customFormat="1" ht="25.5" customHeight="1" x14ac:dyDescent="0.3">
      <c r="A13" s="121" t="s">
        <v>385</v>
      </c>
      <c r="B13" s="92" t="s">
        <v>384</v>
      </c>
      <c r="C13" s="128" t="s">
        <v>621</v>
      </c>
      <c r="D13" s="122"/>
      <c r="E13" s="91"/>
      <c r="F13" s="91"/>
      <c r="G13" s="91"/>
      <c r="H13" s="91"/>
      <c r="I13" s="91"/>
      <c r="J13" s="91">
        <v>0</v>
      </c>
      <c r="K13" s="94">
        <v>60</v>
      </c>
      <c r="L13" s="121" t="s">
        <v>435</v>
      </c>
      <c r="M13" s="121" t="s">
        <v>436</v>
      </c>
      <c r="N13" s="95"/>
    </row>
    <row r="14" spans="1:14" s="1" customFormat="1" ht="25.5" customHeight="1" x14ac:dyDescent="0.3">
      <c r="A14" s="121" t="s">
        <v>386</v>
      </c>
      <c r="B14" s="92" t="s">
        <v>384</v>
      </c>
      <c r="C14" s="96" t="s">
        <v>622</v>
      </c>
      <c r="D14" s="96"/>
      <c r="E14" s="91"/>
      <c r="F14" s="91"/>
      <c r="G14" s="91"/>
      <c r="H14" s="91"/>
      <c r="I14" s="91"/>
      <c r="J14" s="91">
        <v>1</v>
      </c>
      <c r="K14" s="94">
        <v>30</v>
      </c>
      <c r="L14" s="121" t="s">
        <v>437</v>
      </c>
      <c r="M14" s="121" t="s">
        <v>438</v>
      </c>
      <c r="N14" s="95"/>
    </row>
    <row r="15" spans="1:14" s="1" customFormat="1" ht="25.5" customHeight="1" x14ac:dyDescent="0.3">
      <c r="A15" s="121" t="s">
        <v>388</v>
      </c>
      <c r="B15" s="92" t="s">
        <v>387</v>
      </c>
      <c r="C15" s="96" t="s">
        <v>623</v>
      </c>
      <c r="D15" s="90"/>
      <c r="E15" s="91"/>
      <c r="F15" s="91"/>
      <c r="G15" s="91"/>
      <c r="H15" s="91"/>
      <c r="I15" s="91"/>
      <c r="J15" s="91">
        <v>0</v>
      </c>
      <c r="K15" s="94">
        <v>60</v>
      </c>
      <c r="L15" s="121" t="s">
        <v>439</v>
      </c>
      <c r="M15" s="121" t="s">
        <v>440</v>
      </c>
      <c r="N15" s="95"/>
    </row>
    <row r="16" spans="1:14" s="1" customFormat="1" ht="25.5" customHeight="1" x14ac:dyDescent="0.3">
      <c r="A16" s="121" t="s">
        <v>389</v>
      </c>
      <c r="B16" s="123" t="s">
        <v>387</v>
      </c>
      <c r="C16" s="95" t="s">
        <v>624</v>
      </c>
      <c r="D16" s="91"/>
      <c r="E16" s="91"/>
      <c r="F16" s="91"/>
      <c r="G16" s="91"/>
      <c r="H16" s="91"/>
      <c r="I16" s="91"/>
      <c r="J16" s="91">
        <v>1</v>
      </c>
      <c r="K16" s="94">
        <v>30</v>
      </c>
      <c r="L16" s="121" t="s">
        <v>441</v>
      </c>
      <c r="M16" s="121" t="s">
        <v>442</v>
      </c>
      <c r="N16" s="95"/>
    </row>
    <row r="17" spans="1:14" s="1" customFormat="1" ht="25.5" customHeight="1" x14ac:dyDescent="0.3">
      <c r="A17" s="121" t="s">
        <v>391</v>
      </c>
      <c r="B17" s="92" t="s">
        <v>390</v>
      </c>
      <c r="C17" s="95" t="s">
        <v>625</v>
      </c>
      <c r="D17" s="91"/>
      <c r="E17" s="91"/>
      <c r="F17" s="91"/>
      <c r="G17" s="91"/>
      <c r="H17" s="91"/>
      <c r="I17" s="91"/>
      <c r="J17" s="91">
        <v>0</v>
      </c>
      <c r="K17" s="94">
        <v>60</v>
      </c>
      <c r="L17" s="121" t="s">
        <v>443</v>
      </c>
      <c r="M17" s="121" t="s">
        <v>444</v>
      </c>
      <c r="N17" s="95"/>
    </row>
    <row r="18" spans="1:14" s="1" customFormat="1" ht="25.5" customHeight="1" x14ac:dyDescent="0.3">
      <c r="A18" s="121" t="s">
        <v>392</v>
      </c>
      <c r="B18" s="92" t="s">
        <v>390</v>
      </c>
      <c r="C18" s="95" t="s">
        <v>626</v>
      </c>
      <c r="D18" s="91"/>
      <c r="E18" s="91"/>
      <c r="F18" s="91"/>
      <c r="G18" s="91"/>
      <c r="H18" s="91"/>
      <c r="I18" s="91"/>
      <c r="J18" s="91">
        <v>1</v>
      </c>
      <c r="K18" s="94">
        <v>30</v>
      </c>
      <c r="L18" s="121" t="s">
        <v>445</v>
      </c>
      <c r="M18" s="121" t="s">
        <v>446</v>
      </c>
      <c r="N18" s="95"/>
    </row>
    <row r="19" spans="1:14" s="1" customFormat="1" ht="25.5" customHeight="1" x14ac:dyDescent="0.3">
      <c r="A19" s="121" t="s">
        <v>394</v>
      </c>
      <c r="B19" s="92" t="s">
        <v>393</v>
      </c>
      <c r="C19" s="95" t="s">
        <v>627</v>
      </c>
      <c r="D19" s="91"/>
      <c r="E19" s="91"/>
      <c r="F19" s="91"/>
      <c r="G19" s="91"/>
      <c r="H19" s="91"/>
      <c r="I19" s="91"/>
      <c r="J19" s="91">
        <v>0</v>
      </c>
      <c r="K19" s="94">
        <v>60</v>
      </c>
      <c r="L19" s="121" t="s">
        <v>447</v>
      </c>
      <c r="M19" s="121" t="s">
        <v>448</v>
      </c>
      <c r="N19" s="95"/>
    </row>
    <row r="20" spans="1:14" s="1" customFormat="1" ht="25.5" customHeight="1" x14ac:dyDescent="0.3">
      <c r="A20" s="121" t="s">
        <v>395</v>
      </c>
      <c r="B20" s="92" t="s">
        <v>393</v>
      </c>
      <c r="C20" s="95" t="s">
        <v>628</v>
      </c>
      <c r="D20" s="91"/>
      <c r="E20" s="91"/>
      <c r="F20" s="91"/>
      <c r="G20" s="91"/>
      <c r="H20" s="91"/>
      <c r="I20" s="91"/>
      <c r="J20" s="91">
        <v>1</v>
      </c>
      <c r="K20" s="94">
        <v>30</v>
      </c>
      <c r="L20" s="121" t="s">
        <v>449</v>
      </c>
      <c r="M20" s="121" t="s">
        <v>450</v>
      </c>
      <c r="N20" s="95"/>
    </row>
    <row r="21" spans="1:14" s="1" customFormat="1" ht="22.5" customHeight="1" x14ac:dyDescent="0.3">
      <c r="A21" s="121" t="s">
        <v>397</v>
      </c>
      <c r="B21" s="92" t="s">
        <v>396</v>
      </c>
      <c r="C21" s="128" t="s">
        <v>629</v>
      </c>
      <c r="D21" s="122"/>
      <c r="E21" s="124"/>
      <c r="F21" s="122"/>
      <c r="G21" s="122"/>
      <c r="H21" s="122"/>
      <c r="I21" s="122"/>
      <c r="J21" s="122">
        <v>0</v>
      </c>
      <c r="K21" s="129">
        <v>60</v>
      </c>
      <c r="L21" s="121" t="s">
        <v>451</v>
      </c>
      <c r="M21" s="121" t="s">
        <v>452</v>
      </c>
      <c r="N21" s="96"/>
    </row>
    <row r="22" spans="1:14" s="84" customFormat="1" ht="22.5" customHeight="1" x14ac:dyDescent="0.3">
      <c r="A22" s="121" t="s">
        <v>398</v>
      </c>
      <c r="B22" s="92" t="s">
        <v>396</v>
      </c>
      <c r="C22" s="96" t="s">
        <v>630</v>
      </c>
      <c r="D22" s="96"/>
      <c r="E22" s="96"/>
      <c r="F22" s="96"/>
      <c r="G22" s="96"/>
      <c r="H22" s="96"/>
      <c r="I22" s="96"/>
      <c r="J22" s="90">
        <v>1</v>
      </c>
      <c r="K22" s="129">
        <v>30</v>
      </c>
      <c r="L22" s="121" t="s">
        <v>453</v>
      </c>
      <c r="M22" s="121" t="s">
        <v>454</v>
      </c>
      <c r="N22" s="96"/>
    </row>
    <row r="23" spans="1:14" s="1" customFormat="1" ht="25.5" customHeight="1" x14ac:dyDescent="0.3">
      <c r="A23" s="77" t="s">
        <v>400</v>
      </c>
      <c r="B23" s="77" t="s">
        <v>399</v>
      </c>
      <c r="C23" s="114" t="s">
        <v>751</v>
      </c>
      <c r="D23" s="112">
        <v>0</v>
      </c>
      <c r="E23" s="112">
        <v>0</v>
      </c>
      <c r="F23" s="112">
        <v>0</v>
      </c>
      <c r="G23" s="112"/>
      <c r="H23" s="112"/>
      <c r="I23" s="112"/>
      <c r="J23" s="112">
        <v>0</v>
      </c>
      <c r="K23" s="113">
        <v>40</v>
      </c>
      <c r="L23" s="77" t="s">
        <v>455</v>
      </c>
      <c r="M23" s="77" t="s">
        <v>456</v>
      </c>
      <c r="N23" s="114"/>
    </row>
    <row r="24" spans="1:14" s="1" customFormat="1" ht="25.5" customHeight="1" x14ac:dyDescent="0.3">
      <c r="A24" s="77" t="s">
        <v>401</v>
      </c>
      <c r="B24" s="77" t="s">
        <v>399</v>
      </c>
      <c r="C24" s="114" t="s">
        <v>752</v>
      </c>
      <c r="D24" s="112">
        <v>5</v>
      </c>
      <c r="E24" s="112">
        <v>2</v>
      </c>
      <c r="F24" s="112">
        <v>0</v>
      </c>
      <c r="G24" s="112">
        <v>1</v>
      </c>
      <c r="H24" s="112">
        <v>0</v>
      </c>
      <c r="I24" s="112">
        <v>55</v>
      </c>
      <c r="J24" s="112">
        <v>1</v>
      </c>
      <c r="K24" s="113">
        <v>25</v>
      </c>
      <c r="L24" s="77" t="s">
        <v>457</v>
      </c>
      <c r="M24" s="77" t="s">
        <v>458</v>
      </c>
      <c r="N24" s="114"/>
    </row>
  </sheetData>
  <phoneticPr fontId="4" type="noConversion"/>
  <conditionalFormatting sqref="A3:A4">
    <cfRule type="duplicateValues" dxfId="75" priority="53"/>
  </conditionalFormatting>
  <conditionalFormatting sqref="A5:A10">
    <cfRule type="duplicateValues" dxfId="74" priority="58"/>
  </conditionalFormatting>
  <conditionalFormatting sqref="A11:A12">
    <cfRule type="duplicateValues" dxfId="73" priority="35"/>
  </conditionalFormatting>
  <conditionalFormatting sqref="A13:A14">
    <cfRule type="duplicateValues" dxfId="72" priority="34"/>
  </conditionalFormatting>
  <conditionalFormatting sqref="A15:A16">
    <cfRule type="duplicateValues" dxfId="71" priority="33"/>
  </conditionalFormatting>
  <conditionalFormatting sqref="A17:A18">
    <cfRule type="duplicateValues" dxfId="70" priority="32"/>
  </conditionalFormatting>
  <conditionalFormatting sqref="A19:A20">
    <cfRule type="duplicateValues" dxfId="69" priority="31"/>
  </conditionalFormatting>
  <conditionalFormatting sqref="A21:A22">
    <cfRule type="duplicateValues" dxfId="68" priority="30"/>
  </conditionalFormatting>
  <conditionalFormatting sqref="A23">
    <cfRule type="duplicateValues" dxfId="67" priority="6"/>
  </conditionalFormatting>
  <conditionalFormatting sqref="A24">
    <cfRule type="duplicateValues" dxfId="66" priority="5"/>
  </conditionalFormatting>
  <conditionalFormatting sqref="B3">
    <cfRule type="duplicateValues" dxfId="65" priority="52"/>
  </conditionalFormatting>
  <conditionalFormatting sqref="B4">
    <cfRule type="duplicateValues" dxfId="64" priority="51"/>
  </conditionalFormatting>
  <conditionalFormatting sqref="B5">
    <cfRule type="duplicateValues" dxfId="63" priority="63"/>
  </conditionalFormatting>
  <conditionalFormatting sqref="B6">
    <cfRule type="duplicateValues" dxfId="62" priority="50"/>
  </conditionalFormatting>
  <conditionalFormatting sqref="B7">
    <cfRule type="duplicateValues" dxfId="61" priority="49"/>
  </conditionalFormatting>
  <conditionalFormatting sqref="B8">
    <cfRule type="duplicateValues" dxfId="60" priority="48"/>
  </conditionalFormatting>
  <conditionalFormatting sqref="B11">
    <cfRule type="duplicateValues" dxfId="59" priority="46"/>
  </conditionalFormatting>
  <conditionalFormatting sqref="B12">
    <cfRule type="duplicateValues" dxfId="58" priority="45"/>
  </conditionalFormatting>
  <conditionalFormatting sqref="B13">
    <cfRule type="duplicateValues" dxfId="57" priority="44"/>
  </conditionalFormatting>
  <conditionalFormatting sqref="B14">
    <cfRule type="duplicateValues" dxfId="56" priority="43"/>
  </conditionalFormatting>
  <conditionalFormatting sqref="B15">
    <cfRule type="duplicateValues" dxfId="55" priority="42"/>
  </conditionalFormatting>
  <conditionalFormatting sqref="B17">
    <cfRule type="duplicateValues" dxfId="54" priority="41"/>
  </conditionalFormatting>
  <conditionalFormatting sqref="B18">
    <cfRule type="duplicateValues" dxfId="53" priority="40"/>
  </conditionalFormatting>
  <conditionalFormatting sqref="B19">
    <cfRule type="duplicateValues" dxfId="52" priority="39"/>
  </conditionalFormatting>
  <conditionalFormatting sqref="B20">
    <cfRule type="duplicateValues" dxfId="51" priority="38"/>
  </conditionalFormatting>
  <conditionalFormatting sqref="B21">
    <cfRule type="duplicateValues" dxfId="50" priority="37"/>
  </conditionalFormatting>
  <conditionalFormatting sqref="B22">
    <cfRule type="duplicateValues" dxfId="49" priority="36"/>
  </conditionalFormatting>
  <conditionalFormatting sqref="B23">
    <cfRule type="duplicateValues" dxfId="48" priority="4"/>
  </conditionalFormatting>
  <conditionalFormatting sqref="B24">
    <cfRule type="duplicateValues" dxfId="47" priority="3"/>
  </conditionalFormatting>
  <conditionalFormatting sqref="L3">
    <cfRule type="duplicateValues" dxfId="46" priority="27"/>
  </conditionalFormatting>
  <conditionalFormatting sqref="L4">
    <cfRule type="duplicateValues" dxfId="45" priority="25"/>
  </conditionalFormatting>
  <conditionalFormatting sqref="L5:L10">
    <cfRule type="duplicateValues" dxfId="44" priority="24"/>
  </conditionalFormatting>
  <conditionalFormatting sqref="L11:L12">
    <cfRule type="duplicateValues" dxfId="43" priority="23"/>
  </conditionalFormatting>
  <conditionalFormatting sqref="L13:L14">
    <cfRule type="duplicateValues" dxfId="42" priority="18"/>
  </conditionalFormatting>
  <conditionalFormatting sqref="L15:L16">
    <cfRule type="duplicateValues" dxfId="41" priority="17"/>
  </conditionalFormatting>
  <conditionalFormatting sqref="L17:L18">
    <cfRule type="duplicateValues" dxfId="40" priority="16"/>
  </conditionalFormatting>
  <conditionalFormatting sqref="L19:L20">
    <cfRule type="duplicateValues" dxfId="39" priority="15"/>
  </conditionalFormatting>
  <conditionalFormatting sqref="L21:L22">
    <cfRule type="duplicateValues" dxfId="38" priority="14"/>
  </conditionalFormatting>
  <conditionalFormatting sqref="L23:L24">
    <cfRule type="duplicateValues" dxfId="37" priority="2"/>
  </conditionalFormatting>
  <conditionalFormatting sqref="M3">
    <cfRule type="duplicateValues" dxfId="36" priority="22"/>
  </conditionalFormatting>
  <conditionalFormatting sqref="M4">
    <cfRule type="duplicateValues" dxfId="35" priority="21"/>
  </conditionalFormatting>
  <conditionalFormatting sqref="M5:M10">
    <cfRule type="duplicateValues" dxfId="34" priority="20"/>
  </conditionalFormatting>
  <conditionalFormatting sqref="M11:M12">
    <cfRule type="duplicateValues" dxfId="33" priority="19"/>
  </conditionalFormatting>
  <conditionalFormatting sqref="M13:M14">
    <cfRule type="duplicateValues" dxfId="32" priority="13"/>
  </conditionalFormatting>
  <conditionalFormatting sqref="M15:M16">
    <cfRule type="duplicateValues" dxfId="31" priority="12"/>
  </conditionalFormatting>
  <conditionalFormatting sqref="M17:M18">
    <cfRule type="duplicateValues" dxfId="30" priority="11"/>
  </conditionalFormatting>
  <conditionalFormatting sqref="M19:M20">
    <cfRule type="duplicateValues" dxfId="29" priority="10"/>
  </conditionalFormatting>
  <conditionalFormatting sqref="M21:M22">
    <cfRule type="duplicateValues" dxfId="28" priority="9"/>
  </conditionalFormatting>
  <conditionalFormatting sqref="M23:M24">
    <cfRule type="duplicateValues" dxfId="27" priority="1"/>
  </conditionalFormatting>
  <dataValidations count="1">
    <dataValidation type="whole" sqref="K3:K20 K23:K24" xr:uid="{00000000-0002-0000-0900-000000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74974822229687"/>
  </sheetPr>
  <dimension ref="A1:F46"/>
  <sheetViews>
    <sheetView topLeftCell="A22" workbookViewId="0">
      <selection activeCell="B50" sqref="B50"/>
    </sheetView>
  </sheetViews>
  <sheetFormatPr defaultRowHeight="16.5" x14ac:dyDescent="0.3"/>
  <cols>
    <col min="1" max="1" width="35" style="88" customWidth="1"/>
    <col min="2" max="2" width="35" style="89" customWidth="1"/>
    <col min="3" max="3" width="16.875" style="88" customWidth="1"/>
    <col min="4" max="4" width="39.5" style="88" customWidth="1"/>
    <col min="5" max="5" width="20.5" style="88" customWidth="1"/>
    <col min="6" max="6" width="46" style="88" customWidth="1"/>
    <col min="7" max="16384" width="9" style="88"/>
  </cols>
  <sheetData>
    <row r="1" spans="1:6" s="23" customFormat="1" ht="126" customHeight="1" x14ac:dyDescent="0.3">
      <c r="A1" s="19" t="s">
        <v>459</v>
      </c>
      <c r="B1" s="11" t="s">
        <v>233</v>
      </c>
      <c r="C1" s="19" t="s">
        <v>460</v>
      </c>
      <c r="D1" s="26" t="s">
        <v>461</v>
      </c>
      <c r="E1" s="19" t="s">
        <v>462</v>
      </c>
      <c r="F1" s="19" t="s">
        <v>5</v>
      </c>
    </row>
    <row r="2" spans="1:6" s="23" customFormat="1" ht="22.5" customHeight="1" x14ac:dyDescent="0.3">
      <c r="A2" s="97" t="s">
        <v>231</v>
      </c>
      <c r="B2" s="98" t="s">
        <v>100</v>
      </c>
      <c r="C2" s="97" t="s">
        <v>237</v>
      </c>
      <c r="D2" s="99" t="s">
        <v>242</v>
      </c>
      <c r="E2" s="97" t="s">
        <v>247</v>
      </c>
      <c r="F2" s="97" t="s">
        <v>64</v>
      </c>
    </row>
    <row r="3" spans="1:6" s="23" customFormat="1" ht="24.75" customHeight="1" x14ac:dyDescent="0.3">
      <c r="A3" s="109" t="s">
        <v>414</v>
      </c>
      <c r="B3" s="112" t="s">
        <v>463</v>
      </c>
      <c r="C3" s="112">
        <v>1</v>
      </c>
      <c r="D3" s="119">
        <v>0</v>
      </c>
      <c r="E3" s="112">
        <v>1000</v>
      </c>
      <c r="F3" s="111"/>
    </row>
    <row r="4" spans="1:6" s="23" customFormat="1" ht="24.75" customHeight="1" x14ac:dyDescent="0.3">
      <c r="A4" s="109" t="s">
        <v>417</v>
      </c>
      <c r="B4" s="112" t="s">
        <v>464</v>
      </c>
      <c r="C4" s="112">
        <v>1</v>
      </c>
      <c r="D4" s="119">
        <v>0</v>
      </c>
      <c r="E4" s="112">
        <v>1500</v>
      </c>
      <c r="F4" s="111"/>
    </row>
    <row r="5" spans="1:6" s="23" customFormat="1" ht="24.75" customHeight="1" x14ac:dyDescent="0.3">
      <c r="A5" s="109" t="s">
        <v>415</v>
      </c>
      <c r="B5" s="120" t="s">
        <v>465</v>
      </c>
      <c r="C5" s="102">
        <v>0</v>
      </c>
      <c r="D5" s="102">
        <v>0</v>
      </c>
      <c r="E5" s="102">
        <v>0</v>
      </c>
      <c r="F5" s="111"/>
    </row>
    <row r="6" spans="1:6" s="23" customFormat="1" ht="24.75" customHeight="1" x14ac:dyDescent="0.3">
      <c r="A6" s="109" t="s">
        <v>418</v>
      </c>
      <c r="B6" s="112" t="s">
        <v>466</v>
      </c>
      <c r="C6" s="112">
        <v>1</v>
      </c>
      <c r="D6" s="119">
        <v>0</v>
      </c>
      <c r="E6" s="112">
        <v>-500</v>
      </c>
      <c r="F6" s="111"/>
    </row>
    <row r="7" spans="1:6" s="23" customFormat="1" ht="24.75" customHeight="1" x14ac:dyDescent="0.3">
      <c r="A7" s="91" t="s">
        <v>419</v>
      </c>
      <c r="B7" s="91" t="s">
        <v>631</v>
      </c>
      <c r="C7" s="91">
        <v>1</v>
      </c>
      <c r="D7" s="100">
        <v>1</v>
      </c>
      <c r="E7" s="91">
        <v>3</v>
      </c>
      <c r="F7" s="93"/>
    </row>
    <row r="8" spans="1:6" s="23" customFormat="1" ht="24.75" customHeight="1" x14ac:dyDescent="0.3">
      <c r="A8" s="91" t="s">
        <v>421</v>
      </c>
      <c r="B8" s="91" t="s">
        <v>632</v>
      </c>
      <c r="C8" s="91">
        <v>1</v>
      </c>
      <c r="D8" s="100">
        <v>0</v>
      </c>
      <c r="E8" s="91">
        <v>1000</v>
      </c>
      <c r="F8" s="93"/>
    </row>
    <row r="9" spans="1:6" s="23" customFormat="1" ht="24.75" customHeight="1" x14ac:dyDescent="0.3">
      <c r="A9" s="91" t="s">
        <v>420</v>
      </c>
      <c r="B9" s="91" t="s">
        <v>633</v>
      </c>
      <c r="C9" s="91">
        <v>0</v>
      </c>
      <c r="D9" s="100">
        <v>0</v>
      </c>
      <c r="E9" s="91">
        <v>0</v>
      </c>
      <c r="F9" s="93"/>
    </row>
    <row r="10" spans="1:6" s="23" customFormat="1" ht="24.75" customHeight="1" x14ac:dyDescent="0.3">
      <c r="A10" s="91" t="s">
        <v>422</v>
      </c>
      <c r="B10" s="91" t="s">
        <v>634</v>
      </c>
      <c r="C10" s="91">
        <v>1</v>
      </c>
      <c r="D10" s="100">
        <v>0</v>
      </c>
      <c r="E10" s="91">
        <v>-300</v>
      </c>
      <c r="F10" s="93"/>
    </row>
    <row r="11" spans="1:6" s="23" customFormat="1" ht="24.75" customHeight="1" x14ac:dyDescent="0.3">
      <c r="A11" s="109" t="s">
        <v>423</v>
      </c>
      <c r="B11" s="112" t="s">
        <v>635</v>
      </c>
      <c r="C11" s="112">
        <v>1</v>
      </c>
      <c r="D11" s="119">
        <v>2</v>
      </c>
      <c r="E11" s="112">
        <v>3</v>
      </c>
      <c r="F11" s="111"/>
    </row>
    <row r="12" spans="1:6" s="23" customFormat="1" ht="24.75" customHeight="1" x14ac:dyDescent="0.3">
      <c r="A12" s="109" t="s">
        <v>425</v>
      </c>
      <c r="B12" s="112" t="s">
        <v>636</v>
      </c>
      <c r="C12" s="112">
        <v>1</v>
      </c>
      <c r="D12" s="119">
        <v>1</v>
      </c>
      <c r="E12" s="112">
        <v>5</v>
      </c>
      <c r="F12" s="111"/>
    </row>
    <row r="13" spans="1:6" s="23" customFormat="1" ht="24.75" customHeight="1" x14ac:dyDescent="0.3">
      <c r="A13" s="109" t="s">
        <v>424</v>
      </c>
      <c r="B13" s="112" t="s">
        <v>637</v>
      </c>
      <c r="C13" s="112">
        <v>0</v>
      </c>
      <c r="D13" s="119">
        <v>0</v>
      </c>
      <c r="E13" s="112">
        <v>0</v>
      </c>
      <c r="F13" s="111"/>
    </row>
    <row r="14" spans="1:6" s="23" customFormat="1" ht="24.75" customHeight="1" x14ac:dyDescent="0.3">
      <c r="A14" s="109" t="s">
        <v>426</v>
      </c>
      <c r="B14" s="112" t="s">
        <v>638</v>
      </c>
      <c r="C14" s="112">
        <v>1</v>
      </c>
      <c r="D14" s="119">
        <v>1</v>
      </c>
      <c r="E14" s="112">
        <v>-1</v>
      </c>
      <c r="F14" s="111"/>
    </row>
    <row r="15" spans="1:6" s="23" customFormat="1" ht="24.75" customHeight="1" x14ac:dyDescent="0.3">
      <c r="A15" s="91" t="s">
        <v>427</v>
      </c>
      <c r="B15" s="91" t="s">
        <v>639</v>
      </c>
      <c r="C15" s="91">
        <v>1</v>
      </c>
      <c r="D15" s="100">
        <v>3</v>
      </c>
      <c r="E15" s="91">
        <v>3</v>
      </c>
      <c r="F15" s="93"/>
    </row>
    <row r="16" spans="1:6" s="23" customFormat="1" ht="24.75" customHeight="1" x14ac:dyDescent="0.3">
      <c r="A16" s="91" t="s">
        <v>429</v>
      </c>
      <c r="B16" s="91" t="s">
        <v>640</v>
      </c>
      <c r="C16" s="91">
        <v>1</v>
      </c>
      <c r="D16" s="100">
        <v>0</v>
      </c>
      <c r="E16" s="91">
        <v>500</v>
      </c>
      <c r="F16" s="93"/>
    </row>
    <row r="17" spans="1:6" s="23" customFormat="1" ht="33" x14ac:dyDescent="0.3">
      <c r="A17" s="91" t="s">
        <v>428</v>
      </c>
      <c r="B17" s="91" t="s">
        <v>641</v>
      </c>
      <c r="C17" s="91">
        <v>0</v>
      </c>
      <c r="D17" s="100">
        <v>0</v>
      </c>
      <c r="E17" s="91">
        <v>0</v>
      </c>
      <c r="F17" s="93"/>
    </row>
    <row r="18" spans="1:6" s="23" customFormat="1" ht="24.75" customHeight="1" x14ac:dyDescent="0.3">
      <c r="A18" s="91" t="s">
        <v>430</v>
      </c>
      <c r="B18" s="91" t="s">
        <v>642</v>
      </c>
      <c r="C18" s="91">
        <v>1</v>
      </c>
      <c r="D18" s="100">
        <v>0</v>
      </c>
      <c r="E18" s="91">
        <v>-200</v>
      </c>
      <c r="F18" s="93"/>
    </row>
    <row r="19" spans="1:6" s="23" customFormat="1" ht="24.75" customHeight="1" x14ac:dyDescent="0.3">
      <c r="A19" s="109" t="s">
        <v>431</v>
      </c>
      <c r="B19" s="112" t="s">
        <v>643</v>
      </c>
      <c r="C19" s="112">
        <v>1</v>
      </c>
      <c r="D19" s="119">
        <v>0</v>
      </c>
      <c r="E19" s="112">
        <v>500</v>
      </c>
      <c r="F19" s="111"/>
    </row>
    <row r="20" spans="1:6" s="23" customFormat="1" ht="24.75" customHeight="1" x14ac:dyDescent="0.3">
      <c r="A20" s="109" t="s">
        <v>433</v>
      </c>
      <c r="B20" s="112" t="s">
        <v>644</v>
      </c>
      <c r="C20" s="112">
        <v>1</v>
      </c>
      <c r="D20" s="119">
        <v>2</v>
      </c>
      <c r="E20" s="112">
        <v>5</v>
      </c>
      <c r="F20" s="111"/>
    </row>
    <row r="21" spans="1:6" s="23" customFormat="1" ht="24.75" customHeight="1" x14ac:dyDescent="0.3">
      <c r="A21" s="109" t="s">
        <v>432</v>
      </c>
      <c r="B21" s="112" t="s">
        <v>645</v>
      </c>
      <c r="C21" s="112">
        <v>0</v>
      </c>
      <c r="D21" s="119">
        <v>0</v>
      </c>
      <c r="E21" s="112">
        <v>0</v>
      </c>
      <c r="F21" s="111"/>
    </row>
    <row r="22" spans="1:6" s="23" customFormat="1" ht="24.75" customHeight="1" x14ac:dyDescent="0.3">
      <c r="A22" s="112" t="s">
        <v>434</v>
      </c>
      <c r="B22" s="112" t="s">
        <v>646</v>
      </c>
      <c r="C22" s="112">
        <v>0</v>
      </c>
      <c r="D22" s="119">
        <v>0</v>
      </c>
      <c r="E22" s="112">
        <v>0</v>
      </c>
      <c r="F22" s="111"/>
    </row>
    <row r="23" spans="1:6" s="23" customFormat="1" ht="33" x14ac:dyDescent="0.3">
      <c r="A23" s="91" t="s">
        <v>435</v>
      </c>
      <c r="B23" s="91" t="s">
        <v>647</v>
      </c>
      <c r="C23" s="91">
        <v>1</v>
      </c>
      <c r="D23" s="100">
        <v>0</v>
      </c>
      <c r="E23" s="91">
        <v>1000</v>
      </c>
      <c r="F23" s="93"/>
    </row>
    <row r="24" spans="1:6" s="23" customFormat="1" ht="24.75" customHeight="1" x14ac:dyDescent="0.3">
      <c r="A24" s="91" t="s">
        <v>437</v>
      </c>
      <c r="B24" s="91" t="s">
        <v>648</v>
      </c>
      <c r="C24" s="91">
        <v>1</v>
      </c>
      <c r="D24" s="100">
        <v>0</v>
      </c>
      <c r="E24" s="91">
        <v>1500</v>
      </c>
      <c r="F24" s="93"/>
    </row>
    <row r="25" spans="1:6" s="23" customFormat="1" ht="24.75" customHeight="1" x14ac:dyDescent="0.3">
      <c r="A25" s="91" t="s">
        <v>436</v>
      </c>
      <c r="B25" s="91" t="s">
        <v>649</v>
      </c>
      <c r="C25" s="91">
        <v>0</v>
      </c>
      <c r="D25" s="100">
        <v>0</v>
      </c>
      <c r="E25" s="91">
        <v>0</v>
      </c>
      <c r="F25" s="93"/>
    </row>
    <row r="26" spans="1:6" s="23" customFormat="1" ht="24.75" customHeight="1" x14ac:dyDescent="0.3">
      <c r="A26" s="91" t="s">
        <v>438</v>
      </c>
      <c r="B26" s="91" t="s">
        <v>650</v>
      </c>
      <c r="C26" s="91">
        <v>1</v>
      </c>
      <c r="D26" s="100">
        <v>0</v>
      </c>
      <c r="E26" s="91">
        <v>-700</v>
      </c>
      <c r="F26" s="93"/>
    </row>
    <row r="27" spans="1:6" s="23" customFormat="1" ht="24.75" customHeight="1" x14ac:dyDescent="0.3">
      <c r="A27" s="112" t="s">
        <v>439</v>
      </c>
      <c r="B27" s="112" t="s">
        <v>651</v>
      </c>
      <c r="C27" s="112">
        <v>1</v>
      </c>
      <c r="D27" s="119">
        <v>1</v>
      </c>
      <c r="E27" s="112">
        <v>5</v>
      </c>
      <c r="F27" s="111"/>
    </row>
    <row r="28" spans="1:6" s="23" customFormat="1" ht="24.75" customHeight="1" x14ac:dyDescent="0.3">
      <c r="A28" s="112" t="s">
        <v>441</v>
      </c>
      <c r="B28" s="112" t="s">
        <v>652</v>
      </c>
      <c r="C28" s="112">
        <v>1</v>
      </c>
      <c r="D28" s="119">
        <v>1</v>
      </c>
      <c r="E28" s="112">
        <v>10</v>
      </c>
      <c r="F28" s="111"/>
    </row>
    <row r="29" spans="1:6" s="23" customFormat="1" ht="24.75" customHeight="1" x14ac:dyDescent="0.3">
      <c r="A29" s="112" t="s">
        <v>440</v>
      </c>
      <c r="B29" s="112" t="s">
        <v>653</v>
      </c>
      <c r="C29" s="112">
        <v>0</v>
      </c>
      <c r="D29" s="119">
        <v>0</v>
      </c>
      <c r="E29" s="112">
        <v>0</v>
      </c>
      <c r="F29" s="111"/>
    </row>
    <row r="30" spans="1:6" s="23" customFormat="1" ht="24.75" customHeight="1" x14ac:dyDescent="0.3">
      <c r="A30" s="112" t="s">
        <v>442</v>
      </c>
      <c r="B30" s="112" t="s">
        <v>654</v>
      </c>
      <c r="C30" s="112">
        <v>1</v>
      </c>
      <c r="D30" s="119">
        <v>1</v>
      </c>
      <c r="E30" s="112">
        <v>-3</v>
      </c>
      <c r="F30" s="111"/>
    </row>
    <row r="31" spans="1:6" s="23" customFormat="1" ht="24.75" customHeight="1" x14ac:dyDescent="0.3">
      <c r="A31" s="91" t="s">
        <v>443</v>
      </c>
      <c r="B31" s="91" t="s">
        <v>655</v>
      </c>
      <c r="C31" s="91">
        <v>1</v>
      </c>
      <c r="D31" s="100">
        <v>2</v>
      </c>
      <c r="E31" s="91">
        <v>5</v>
      </c>
      <c r="F31" s="93"/>
    </row>
    <row r="32" spans="1:6" s="23" customFormat="1" ht="24.75" customHeight="1" x14ac:dyDescent="0.3">
      <c r="A32" s="91" t="s">
        <v>445</v>
      </c>
      <c r="B32" s="91" t="s">
        <v>656</v>
      </c>
      <c r="C32" s="91">
        <v>1</v>
      </c>
      <c r="D32" s="100">
        <v>2</v>
      </c>
      <c r="E32" s="91">
        <v>10</v>
      </c>
      <c r="F32" s="93"/>
    </row>
    <row r="33" spans="1:6" s="23" customFormat="1" ht="24.75" customHeight="1" x14ac:dyDescent="0.3">
      <c r="A33" s="91" t="s">
        <v>444</v>
      </c>
      <c r="B33" s="91" t="s">
        <v>657</v>
      </c>
      <c r="C33" s="91">
        <v>0</v>
      </c>
      <c r="D33" s="100">
        <v>0</v>
      </c>
      <c r="E33" s="91">
        <v>0</v>
      </c>
      <c r="F33" s="93"/>
    </row>
    <row r="34" spans="1:6" s="23" customFormat="1" ht="33" x14ac:dyDescent="0.3">
      <c r="A34" s="91" t="s">
        <v>446</v>
      </c>
      <c r="B34" s="91" t="s">
        <v>658</v>
      </c>
      <c r="C34" s="91">
        <v>1</v>
      </c>
      <c r="D34" s="100">
        <v>2</v>
      </c>
      <c r="E34" s="91">
        <v>-3</v>
      </c>
      <c r="F34" s="93"/>
    </row>
    <row r="35" spans="1:6" s="23" customFormat="1" ht="24.75" customHeight="1" x14ac:dyDescent="0.3">
      <c r="A35" s="112" t="s">
        <v>447</v>
      </c>
      <c r="B35" s="112" t="s">
        <v>659</v>
      </c>
      <c r="C35" s="112">
        <v>1</v>
      </c>
      <c r="D35" s="119">
        <v>3</v>
      </c>
      <c r="E35" s="112">
        <v>5</v>
      </c>
      <c r="F35" s="111"/>
    </row>
    <row r="36" spans="1:6" s="23" customFormat="1" ht="24.75" customHeight="1" x14ac:dyDescent="0.3">
      <c r="A36" s="112" t="s">
        <v>449</v>
      </c>
      <c r="B36" s="112" t="s">
        <v>660</v>
      </c>
      <c r="C36" s="112">
        <v>1</v>
      </c>
      <c r="D36" s="119">
        <v>0</v>
      </c>
      <c r="E36" s="112">
        <v>1000</v>
      </c>
      <c r="F36" s="111"/>
    </row>
    <row r="37" spans="1:6" s="23" customFormat="1" ht="24.75" customHeight="1" x14ac:dyDescent="0.3">
      <c r="A37" s="112" t="s">
        <v>448</v>
      </c>
      <c r="B37" s="112" t="s">
        <v>661</v>
      </c>
      <c r="C37" s="112">
        <v>0</v>
      </c>
      <c r="D37" s="119">
        <v>0</v>
      </c>
      <c r="E37" s="112">
        <v>0</v>
      </c>
      <c r="F37" s="111"/>
    </row>
    <row r="38" spans="1:6" s="23" customFormat="1" ht="24.75" customHeight="1" x14ac:dyDescent="0.3">
      <c r="A38" s="112" t="s">
        <v>450</v>
      </c>
      <c r="B38" s="112" t="s">
        <v>662</v>
      </c>
      <c r="C38" s="112">
        <v>1</v>
      </c>
      <c r="D38" s="119">
        <v>0</v>
      </c>
      <c r="E38" s="112">
        <v>-500</v>
      </c>
      <c r="F38" s="111"/>
    </row>
    <row r="39" spans="1:6" s="23" customFormat="1" ht="24.75" customHeight="1" x14ac:dyDescent="0.3">
      <c r="A39" s="91" t="s">
        <v>451</v>
      </c>
      <c r="B39" s="91" t="s">
        <v>663</v>
      </c>
      <c r="C39" s="91">
        <v>1</v>
      </c>
      <c r="D39" s="91">
        <v>0</v>
      </c>
      <c r="E39" s="91">
        <v>500</v>
      </c>
      <c r="F39" s="93"/>
    </row>
    <row r="40" spans="1:6" s="23" customFormat="1" ht="24.75" customHeight="1" x14ac:dyDescent="0.3">
      <c r="A40" s="91" t="s">
        <v>453</v>
      </c>
      <c r="B40" s="91" t="s">
        <v>664</v>
      </c>
      <c r="C40" s="91">
        <v>1</v>
      </c>
      <c r="D40" s="91">
        <v>1</v>
      </c>
      <c r="E40" s="91">
        <v>5</v>
      </c>
      <c r="F40" s="93"/>
    </row>
    <row r="41" spans="1:6" s="23" customFormat="1" ht="24.75" customHeight="1" x14ac:dyDescent="0.3">
      <c r="A41" s="91" t="s">
        <v>452</v>
      </c>
      <c r="B41" s="91" t="s">
        <v>665</v>
      </c>
      <c r="C41" s="91">
        <v>0</v>
      </c>
      <c r="D41" s="91">
        <v>0</v>
      </c>
      <c r="E41" s="91">
        <v>0</v>
      </c>
      <c r="F41" s="93"/>
    </row>
    <row r="42" spans="1:6" s="23" customFormat="1" ht="24.75" customHeight="1" x14ac:dyDescent="0.3">
      <c r="A42" s="91" t="s">
        <v>454</v>
      </c>
      <c r="B42" s="91" t="s">
        <v>666</v>
      </c>
      <c r="C42" s="91">
        <v>1</v>
      </c>
      <c r="D42" s="91">
        <v>1</v>
      </c>
      <c r="E42" s="91">
        <v>-2</v>
      </c>
      <c r="F42" s="93"/>
    </row>
    <row r="43" spans="1:6" ht="24.75" customHeight="1" x14ac:dyDescent="0.3">
      <c r="A43" s="77" t="s">
        <v>455</v>
      </c>
      <c r="B43" s="112" t="s">
        <v>753</v>
      </c>
      <c r="C43" s="112">
        <v>1</v>
      </c>
      <c r="D43" s="119">
        <v>0</v>
      </c>
      <c r="E43" s="112">
        <v>500</v>
      </c>
      <c r="F43" s="111" t="s">
        <v>467</v>
      </c>
    </row>
    <row r="44" spans="1:6" ht="24.75" customHeight="1" x14ac:dyDescent="0.3">
      <c r="A44" s="77" t="s">
        <v>457</v>
      </c>
      <c r="B44" s="112" t="s">
        <v>754</v>
      </c>
      <c r="C44" s="112">
        <v>1</v>
      </c>
      <c r="D44" s="119">
        <v>1</v>
      </c>
      <c r="E44" s="112">
        <v>5</v>
      </c>
      <c r="F44" s="111" t="s">
        <v>468</v>
      </c>
    </row>
    <row r="45" spans="1:6" ht="24.75" customHeight="1" x14ac:dyDescent="0.3">
      <c r="A45" s="77" t="s">
        <v>456</v>
      </c>
      <c r="B45" s="112" t="s">
        <v>755</v>
      </c>
      <c r="C45" s="112">
        <v>1</v>
      </c>
      <c r="D45" s="119">
        <v>0</v>
      </c>
      <c r="E45" s="112">
        <v>-300</v>
      </c>
      <c r="F45" s="111" t="s">
        <v>469</v>
      </c>
    </row>
    <row r="46" spans="1:6" ht="33" x14ac:dyDescent="0.3">
      <c r="A46" s="77" t="s">
        <v>458</v>
      </c>
      <c r="B46" s="112" t="s">
        <v>756</v>
      </c>
      <c r="C46" s="112">
        <v>1</v>
      </c>
      <c r="D46" s="119">
        <v>1</v>
      </c>
      <c r="E46" s="112">
        <v>-1</v>
      </c>
      <c r="F46" s="111" t="s">
        <v>470</v>
      </c>
    </row>
  </sheetData>
  <phoneticPr fontId="4" type="noConversion"/>
  <conditionalFormatting sqref="A3">
    <cfRule type="duplicateValues" dxfId="26" priority="26"/>
  </conditionalFormatting>
  <conditionalFormatting sqref="A4">
    <cfRule type="duplicateValues" dxfId="25" priority="25"/>
  </conditionalFormatting>
  <conditionalFormatting sqref="A5">
    <cfRule type="duplicateValues" dxfId="24" priority="24"/>
  </conditionalFormatting>
  <conditionalFormatting sqref="A6">
    <cfRule type="duplicateValues" dxfId="23" priority="23"/>
  </conditionalFormatting>
  <conditionalFormatting sqref="A7:A8">
    <cfRule type="duplicateValues" dxfId="22" priority="22"/>
  </conditionalFormatting>
  <conditionalFormatting sqref="A9:A10">
    <cfRule type="duplicateValues" dxfId="21" priority="21"/>
  </conditionalFormatting>
  <conditionalFormatting sqref="A11:A12">
    <cfRule type="duplicateValues" dxfId="20" priority="20"/>
  </conditionalFormatting>
  <conditionalFormatting sqref="A13:A14">
    <cfRule type="duplicateValues" dxfId="19" priority="19"/>
  </conditionalFormatting>
  <conditionalFormatting sqref="A15:A16">
    <cfRule type="duplicateValues" dxfId="18" priority="18"/>
  </conditionalFormatting>
  <conditionalFormatting sqref="A17:A18">
    <cfRule type="duplicateValues" dxfId="17" priority="17"/>
  </conditionalFormatting>
  <conditionalFormatting sqref="A19:A20">
    <cfRule type="duplicateValues" dxfId="16" priority="16"/>
  </conditionalFormatting>
  <conditionalFormatting sqref="A21:A22">
    <cfRule type="duplicateValues" dxfId="15" priority="15"/>
  </conditionalFormatting>
  <conditionalFormatting sqref="A23:A24">
    <cfRule type="duplicateValues" dxfId="14" priority="14"/>
  </conditionalFormatting>
  <conditionalFormatting sqref="A25:A26">
    <cfRule type="duplicateValues" dxfId="13" priority="13"/>
  </conditionalFormatting>
  <conditionalFormatting sqref="A27:A28">
    <cfRule type="duplicateValues" dxfId="12" priority="12"/>
  </conditionalFormatting>
  <conditionalFormatting sqref="A29:A30">
    <cfRule type="duplicateValues" dxfId="11" priority="11"/>
  </conditionalFormatting>
  <conditionalFormatting sqref="A31:A32">
    <cfRule type="duplicateValues" dxfId="10" priority="10"/>
  </conditionalFormatting>
  <conditionalFormatting sqref="A33:A34">
    <cfRule type="duplicateValues" dxfId="9" priority="9"/>
  </conditionalFormatting>
  <conditionalFormatting sqref="A35:A36">
    <cfRule type="duplicateValues" dxfId="8" priority="8"/>
  </conditionalFormatting>
  <conditionalFormatting sqref="A37:A38">
    <cfRule type="duplicateValues" dxfId="7" priority="7"/>
  </conditionalFormatting>
  <conditionalFormatting sqref="A39:A40">
    <cfRule type="duplicateValues" dxfId="6" priority="6"/>
  </conditionalFormatting>
  <conditionalFormatting sqref="A41:A42">
    <cfRule type="duplicateValues" dxfId="5" priority="5"/>
  </conditionalFormatting>
  <conditionalFormatting sqref="A43:A44">
    <cfRule type="duplicateValues" dxfId="4" priority="2"/>
  </conditionalFormatting>
  <conditionalFormatting sqref="A45:A46">
    <cfRule type="duplicateValues" dxfId="3" priority="1"/>
  </conditionalFormatting>
  <conditionalFormatting sqref="B3:B4">
    <cfRule type="duplicateValues" dxfId="2" priority="28"/>
  </conditionalFormatting>
  <conditionalFormatting sqref="B43:B44">
    <cfRule type="duplicateValues" dxfId="1" priority="30"/>
  </conditionalFormatting>
  <conditionalFormatting sqref="B45:B46">
    <cfRule type="duplicateValues" dxfId="0" priority="29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A686-8C92-4B64-8AAF-CBF1DBA38B45}">
  <sheetPr>
    <tabColor theme="3"/>
  </sheetPr>
  <dimension ref="B1:I7"/>
  <sheetViews>
    <sheetView showGridLines="0" zoomScaleNormal="100" workbookViewId="0"/>
  </sheetViews>
  <sheetFormatPr defaultRowHeight="16.5" x14ac:dyDescent="0.3"/>
  <cols>
    <col min="2" max="2" width="14" customWidth="1"/>
    <col min="3" max="5" width="18" customWidth="1"/>
    <col min="6" max="7" width="22" customWidth="1"/>
    <col min="8" max="8" width="9.5" customWidth="1"/>
    <col min="9" max="9" width="53.625" customWidth="1"/>
  </cols>
  <sheetData>
    <row r="1" spans="2:9" ht="23.25" customHeight="1" x14ac:dyDescent="0.3"/>
    <row r="2" spans="2:9" ht="33.950000000000003" customHeight="1" x14ac:dyDescent="0.3">
      <c r="B2" s="148" t="s">
        <v>692</v>
      </c>
      <c r="C2" s="148" t="s">
        <v>701</v>
      </c>
      <c r="D2" s="148" t="s">
        <v>702</v>
      </c>
      <c r="E2" s="148" t="s">
        <v>693</v>
      </c>
      <c r="F2" s="148" t="s">
        <v>694</v>
      </c>
      <c r="G2" s="148" t="s">
        <v>695</v>
      </c>
      <c r="H2" s="149" t="s">
        <v>703</v>
      </c>
      <c r="I2" s="151" t="s">
        <v>706</v>
      </c>
    </row>
    <row r="3" spans="2:9" ht="24" customHeight="1" x14ac:dyDescent="0.3">
      <c r="B3" s="150" t="s">
        <v>696</v>
      </c>
      <c r="C3" s="13">
        <f>0</f>
        <v>0</v>
      </c>
      <c r="D3" s="13">
        <f>SUMIFS('소비형 (결과)'!$D$3:$D$1001,'소비형 (결과)'!$C$3:$C$1001,0)+SUMIFS('소비형 (결과)'!$F$3:$F$1001,'소비형 (결과)'!$E$3:$E$1001,0)</f>
        <v>4700</v>
      </c>
      <c r="E3" s="13">
        <f>SUMIFS('보상형 (NPC형)'!$H$3:$H$1001,'보상형 (NPC형)'!$G$3:$G$1001,1)+SUMIFS('보상형 (NPC형)'!$J$3:$J$1001,'보상형 (NPC형)'!$I$3:$I$1001,1)+SUMIFS('보상형 (조건형)'!$N$3:$N$1000,'보상형 (조건형)'!$M$3:$M$1000,1)+SUMIFS('보상형 (조건형)'!$P$3:$P$1000,'보상형 (조건형)'!$O$3:$O$1000,1)</f>
        <v>3700</v>
      </c>
      <c r="F3" s="13">
        <f>IF('선택형 (선택지)'!$L$3="",0,SUMIFS('선택형 (선택결과)'!$E$3:$E$1000,'선택형 (선택결과)'!$A$3:$A$1000,'선택형 (선택지)'!$L$3,'선택형 (선택결과)'!$C$3:$C$1000,1,'선택형 (선택결과)'!$D$3:$D$1000,0))+IF('선택형 (선택지)'!$L$4="",0,SUMIFS('선택형 (선택결과)'!$E$3:$E$1000,'선택형 (선택결과)'!$A$3:$A$1000,'선택형 (선택지)'!$L$4,'선택형 (선택결과)'!$C$3:$C$1000,1,'선택형 (선택결과)'!$D$3:$D$1000,0))+IF('선택형 (선택지)'!$L$5="",0,SUMIFS('선택형 (선택결과)'!$E$3:$E$1000,'선택형 (선택결과)'!$A$3:$A$1000,'선택형 (선택지)'!$L$5,'선택형 (선택결과)'!$C$3:$C$1000,1,'선택형 (선택결과)'!$D$3:$D$1000,0))+IF('선택형 (선택지)'!$L$6="",0,SUMIFS('선택형 (선택결과)'!$E$3:$E$1000,'선택형 (선택결과)'!$A$3:$A$1000,'선택형 (선택지)'!$L$6,'선택형 (선택결과)'!$C$3:$C$1000,1,'선택형 (선택결과)'!$D$3:$D$1000,0))+IF('선택형 (선택지)'!$L$7="",0,SUMIFS('선택형 (선택결과)'!$E$3:$E$1000,'선택형 (선택결과)'!$A$3:$A$1000,'선택형 (선택지)'!$L$7,'선택형 (선택결과)'!$C$3:$C$1000,1,'선택형 (선택결과)'!$D$3:$D$1000,0))+IF('선택형 (선택지)'!$L$8="",0,SUMIFS('선택형 (선택결과)'!$E$3:$E$1000,'선택형 (선택결과)'!$A$3:$A$1000,'선택형 (선택지)'!$L$8,'선택형 (선택결과)'!$C$3:$C$1000,1,'선택형 (선택결과)'!$D$3:$D$1000,0))+IF('선택형 (선택지)'!$L$9="",0,SUMIFS('선택형 (선택결과)'!$E$3:$E$1000,'선택형 (선택결과)'!$A$3:$A$1000,'선택형 (선택지)'!$L$9,'선택형 (선택결과)'!$C$3:$C$1000,1,'선택형 (선택결과)'!$D$3:$D$1000,0))+IF('선택형 (선택지)'!$L$10="",0,SUMIFS('선택형 (선택결과)'!$E$3:$E$1000,'선택형 (선택결과)'!$A$3:$A$1000,'선택형 (선택지)'!$L$10,'선택형 (선택결과)'!$C$3:$C$1000,1,'선택형 (선택결과)'!$D$3:$D$1000,0))+IF('선택형 (선택지)'!$L$11="",0,SUMIFS('선택형 (선택결과)'!$E$3:$E$1000,'선택형 (선택결과)'!$A$3:$A$1000,'선택형 (선택지)'!$L$11,'선택형 (선택결과)'!$C$3:$C$1000,1,'선택형 (선택결과)'!$D$3:$D$1000,0))+IF('선택형 (선택지)'!$L$12="",0,SUMIFS('선택형 (선택결과)'!$E$3:$E$1000,'선택형 (선택결과)'!$A$3:$A$1000,'선택형 (선택지)'!$L$12,'선택형 (선택결과)'!$C$3:$C$1000,1,'선택형 (선택결과)'!$D$3:$D$1000,0))+IF('선택형 (선택지)'!$L$13="",0,SUMIFS('선택형 (선택결과)'!$E$3:$E$1000,'선택형 (선택결과)'!$A$3:$A$1000,'선택형 (선택지)'!$L$13,'선택형 (선택결과)'!$C$3:$C$1000,1,'선택형 (선택결과)'!$D$3:$D$1000,0))+IF('선택형 (선택지)'!$L$14="",0,SUMIFS('선택형 (선택결과)'!$E$3:$E$1000,'선택형 (선택결과)'!$A$3:$A$1000,'선택형 (선택지)'!$L$14,'선택형 (선택결과)'!$C$3:$C$1000,1,'선택형 (선택결과)'!$D$3:$D$1000,0))+IF('선택형 (선택지)'!$L$15="",0,SUMIFS('선택형 (선택결과)'!$E$3:$E$1000,'선택형 (선택결과)'!$A$3:$A$1000,'선택형 (선택지)'!$L$15,'선택형 (선택결과)'!$C$3:$C$1000,1,'선택형 (선택결과)'!$D$3:$D$1000,0))+IF('선택형 (선택지)'!$L$16="",0,SUMIFS('선택형 (선택결과)'!$E$3:$E$1000,'선택형 (선택결과)'!$A$3:$A$1000,'선택형 (선택지)'!$L$16,'선택형 (선택결과)'!$C$3:$C$1000,1,'선택형 (선택결과)'!$D$3:$D$1000,0))+IF('선택형 (선택지)'!$L$17="",0,SUMIFS('선택형 (선택결과)'!$E$3:$E$1000,'선택형 (선택결과)'!$A$3:$A$1000,'선택형 (선택지)'!$L$17,'선택형 (선택결과)'!$C$3:$C$1000,1,'선택형 (선택결과)'!$D$3:$D$1000,0))+IF('선택형 (선택지)'!$L$18="",0,SUMIFS('선택형 (선택결과)'!$E$3:$E$1000,'선택형 (선택결과)'!$A$3:$A$1000,'선택형 (선택지)'!$L$18,'선택형 (선택결과)'!$C$3:$C$1000,1,'선택형 (선택결과)'!$D$3:$D$1000,0))+IF('선택형 (선택지)'!$L$19="",0,SUMIFS('선택형 (선택결과)'!$E$3:$E$1000,'선택형 (선택결과)'!$A$3:$A$1000,'선택형 (선택지)'!$L$19,'선택형 (선택결과)'!$C$3:$C$1000,1,'선택형 (선택결과)'!$D$3:$D$1000,0))+IF('선택형 (선택지)'!$L$20="",0,SUMIFS('선택형 (선택결과)'!$E$3:$E$1000,'선택형 (선택결과)'!$A$3:$A$1000,'선택형 (선택지)'!$L$20,'선택형 (선택결과)'!$C$3:$C$1000,1,'선택형 (선택결과)'!$D$3:$D$1000,0))+IF('선택형 (선택지)'!$L$21="",0,SUMIFS('선택형 (선택결과)'!$E$3:$E$1000,'선택형 (선택결과)'!$A$3:$A$1000,'선택형 (선택지)'!$L$21,'선택형 (선택결과)'!$C$3:$C$1000,1,'선택형 (선택결과)'!$D$3:$D$1000,0))+IF('선택형 (선택지)'!$L$22="",0,SUMIFS('선택형 (선택결과)'!$E$3:$E$1000,'선택형 (선택결과)'!$A$3:$A$1000,'선택형 (선택지)'!$L$22,'선택형 (선택결과)'!$C$3:$C$1000,1,'선택형 (선택결과)'!$D$3:$D$1000,0))+IF('선택형 (선택지)'!$L$23="",0,SUMIFS('선택형 (선택결과)'!$E$3:$E$1000,'선택형 (선택결과)'!$A$3:$A$1000,'선택형 (선택지)'!$L$23,'선택형 (선택결과)'!$C$3:$C$1000,1,'선택형 (선택결과)'!$D$3:$D$1000,0))+IF('선택형 (선택지)'!$L$24="",0,SUMIFS('선택형 (선택결과)'!$E$3:$E$1000,'선택형 (선택결과)'!$A$3:$A$1000,'선택형 (선택지)'!$L$24,'선택형 (선택결과)'!$C$3:$C$1000,1,'선택형 (선택결과)'!$D$3:$D$1000,0))+IF('선택형 (선택지)'!$L$25="",0,SUMIFS('선택형 (선택결과)'!$E$3:$E$1000,'선택형 (선택결과)'!$A$3:$A$1000,'선택형 (선택지)'!$L$25,'선택형 (선택결과)'!$C$3:$C$1000,1,'선택형 (선택결과)'!$D$3:$D$1000,0))+IF('선택형 (선택지)'!$L$26="",0,SUMIFS('선택형 (선택결과)'!$E$3:$E$1000,'선택형 (선택결과)'!$A$3:$A$1000,'선택형 (선택지)'!$L$26,'선택형 (선택결과)'!$C$3:$C$1000,1,'선택형 (선택결과)'!$D$3:$D$1000,0))+IF('선택형 (선택지)'!$L$27="",0,SUMIFS('선택형 (선택결과)'!$E$3:$E$1000,'선택형 (선택결과)'!$A$3:$A$1000,'선택형 (선택지)'!$L$27,'선택형 (선택결과)'!$C$3:$C$1000,1,'선택형 (선택결과)'!$D$3:$D$1000,0))+IF('선택형 (선택지)'!$L$28="",0,SUMIFS('선택형 (선택결과)'!$E$3:$E$1000,'선택형 (선택결과)'!$A$3:$A$1000,'선택형 (선택지)'!$L$28,'선택형 (선택결과)'!$C$3:$C$1000,1,'선택형 (선택결과)'!$D$3:$D$1000,0))+IF('선택형 (선택지)'!$L$29="",0,SUMIFS('선택형 (선택결과)'!$E$3:$E$1000,'선택형 (선택결과)'!$A$3:$A$1000,'선택형 (선택지)'!$L$29,'선택형 (선택결과)'!$C$3:$C$1000,1,'선택형 (선택결과)'!$D$3:$D$1000,0))+IF('선택형 (선택지)'!$L$30="",0,SUMIFS('선택형 (선택결과)'!$E$3:$E$1000,'선택형 (선택결과)'!$A$3:$A$1000,'선택형 (선택지)'!$L$30,'선택형 (선택결과)'!$C$3:$C$1000,1,'선택형 (선택결과)'!$D$3:$D$1000,0))+IF('선택형 (선택지)'!$L$31="",0,SUMIFS('선택형 (선택결과)'!$E$3:$E$1000,'선택형 (선택결과)'!$A$3:$A$1000,'선택형 (선택지)'!$L$31,'선택형 (선택결과)'!$C$3:$C$1000,1,'선택형 (선택결과)'!$D$3:$D$1000,0))+IF('선택형 (선택지)'!$L$32="",0,SUMIFS('선택형 (선택결과)'!$E$3:$E$1000,'선택형 (선택결과)'!$A$3:$A$1000,'선택형 (선택지)'!$L$32,'선택형 (선택결과)'!$C$3:$C$1000,1,'선택형 (선택결과)'!$D$3:$D$1000,0))+IF('선택형 (선택지)'!$L$33="",0,SUMIFS('선택형 (선택결과)'!$E$3:$E$1000,'선택형 (선택결과)'!$A$3:$A$1000,'선택형 (선택지)'!$L$33,'선택형 (선택결과)'!$C$3:$C$1000,1,'선택형 (선택결과)'!$D$3:$D$1000,0))+IF('선택형 (선택지)'!$L$34="",0,SUMIFS('선택형 (선택결과)'!$E$3:$E$1000,'선택형 (선택결과)'!$A$3:$A$1000,'선택형 (선택지)'!$L$34,'선택형 (선택결과)'!$C$3:$C$1000,1,'선택형 (선택결과)'!$D$3:$D$1000,0))+IF('선택형 (선택지)'!$L$35="",0,SUMIFS('선택형 (선택결과)'!$E$3:$E$1000,'선택형 (선택결과)'!$A$3:$A$1000,'선택형 (선택지)'!$L$35,'선택형 (선택결과)'!$C$3:$C$1000,1,'선택형 (선택결과)'!$D$3:$D$1000,0))+IF('선택형 (선택지)'!$L$36="",0,SUMIFS('선택형 (선택결과)'!$E$3:$E$1000,'선택형 (선택결과)'!$A$3:$A$1000,'선택형 (선택지)'!$L$36,'선택형 (선택결과)'!$C$3:$C$1000,1,'선택형 (선택결과)'!$D$3:$D$1000,0))+IF('선택형 (선택지)'!$L$37="",0,SUMIFS('선택형 (선택결과)'!$E$3:$E$1000,'선택형 (선택결과)'!$A$3:$A$1000,'선택형 (선택지)'!$L$37,'선택형 (선택결과)'!$C$3:$C$1000,1,'선택형 (선택결과)'!$D$3:$D$1000,0))+IF('선택형 (선택지)'!$L$38="",0,SUMIFS('선택형 (선택결과)'!$E$3:$E$1000,'선택형 (선택결과)'!$A$3:$A$1000,'선택형 (선택지)'!$L$38,'선택형 (선택결과)'!$C$3:$C$1000,1,'선택형 (선택결과)'!$D$3:$D$1000,0))+IF('선택형 (선택지)'!$L$39="",0,SUMIFS('선택형 (선택결과)'!$E$3:$E$1000,'선택형 (선택결과)'!$A$3:$A$1000,'선택형 (선택지)'!$L$39,'선택형 (선택결과)'!$C$3:$C$1000,1,'선택형 (선택결과)'!$D$3:$D$1000,0))+IF('선택형 (선택지)'!$L$40="",0,SUMIFS('선택형 (선택결과)'!$E$3:$E$1000,'선택형 (선택결과)'!$A$3:$A$1000,'선택형 (선택지)'!$L$40,'선택형 (선택결과)'!$C$3:$C$1000,1,'선택형 (선택결과)'!$D$3:$D$1000,0))+IF('선택형 (선택지)'!$L$41="",0,SUMIFS('선택형 (선택결과)'!$E$3:$E$1000,'선택형 (선택결과)'!$A$3:$A$1000,'선택형 (선택지)'!$L$41,'선택형 (선택결과)'!$C$3:$C$1000,1,'선택형 (선택결과)'!$D$3:$D$1000,0))+IF('선택형 (선택지)'!$L$42="",0,SUMIFS('선택형 (선택결과)'!$E$3:$E$1000,'선택형 (선택결과)'!$A$3:$A$1000,'선택형 (선택지)'!$L$42,'선택형 (선택결과)'!$C$3:$C$1000,1,'선택형 (선택결과)'!$D$3:$D$1000,0))</f>
        <v>9000</v>
      </c>
      <c r="G3" s="13">
        <f>IF('선택형 (선택지)'!$M$3="",0,SUMIFS('선택형 (선택결과)'!$E$3:$E$1000,'선택형 (선택결과)'!$A$3:$A$1000,'선택형 (선택지)'!$M$3,'선택형 (선택결과)'!$C$3:$C$1000,1,'선택형 (선택결과)'!$D$3:$D$1000,0))+IF('선택형 (선택지)'!$M$4="",0,SUMIFS('선택형 (선택결과)'!$E$3:$E$1000,'선택형 (선택결과)'!$A$3:$A$1000,'선택형 (선택지)'!$M$4,'선택형 (선택결과)'!$C$3:$C$1000,1,'선택형 (선택결과)'!$D$3:$D$1000,0))+IF('선택형 (선택지)'!$M$5="",0,SUMIFS('선택형 (선택결과)'!$E$3:$E$1000,'선택형 (선택결과)'!$A$3:$A$1000,'선택형 (선택지)'!$M$5,'선택형 (선택결과)'!$C$3:$C$1000,1,'선택형 (선택결과)'!$D$3:$D$1000,0))+IF('선택형 (선택지)'!$M$6="",0,SUMIFS('선택형 (선택결과)'!$E$3:$E$1000,'선택형 (선택결과)'!$A$3:$A$1000,'선택형 (선택지)'!$M$6,'선택형 (선택결과)'!$C$3:$C$1000,1,'선택형 (선택결과)'!$D$3:$D$1000,0))+IF('선택형 (선택지)'!$M$7="",0,SUMIFS('선택형 (선택결과)'!$E$3:$E$1000,'선택형 (선택결과)'!$A$3:$A$1000,'선택형 (선택지)'!$M$7,'선택형 (선택결과)'!$C$3:$C$1000,1,'선택형 (선택결과)'!$D$3:$D$1000,0))+IF('선택형 (선택지)'!$M$8="",0,SUMIFS('선택형 (선택결과)'!$E$3:$E$1000,'선택형 (선택결과)'!$A$3:$A$1000,'선택형 (선택지)'!$M$8,'선택형 (선택결과)'!$C$3:$C$1000,1,'선택형 (선택결과)'!$D$3:$D$1000,0))+IF('선택형 (선택지)'!$M$9="",0,SUMIFS('선택형 (선택결과)'!$E$3:$E$1000,'선택형 (선택결과)'!$A$3:$A$1000,'선택형 (선택지)'!$M$9,'선택형 (선택결과)'!$C$3:$C$1000,1,'선택형 (선택결과)'!$D$3:$D$1000,0))+IF('선택형 (선택지)'!$M$10="",0,SUMIFS('선택형 (선택결과)'!$E$3:$E$1000,'선택형 (선택결과)'!$A$3:$A$1000,'선택형 (선택지)'!$M$10,'선택형 (선택결과)'!$C$3:$C$1000,1,'선택형 (선택결과)'!$D$3:$D$1000,0))+IF('선택형 (선택지)'!$M$11="",0,SUMIFS('선택형 (선택결과)'!$E$3:$E$1000,'선택형 (선택결과)'!$A$3:$A$1000,'선택형 (선택지)'!$M$11,'선택형 (선택결과)'!$C$3:$C$1000,1,'선택형 (선택결과)'!$D$3:$D$1000,0))+IF('선택형 (선택지)'!$M$12="",0,SUMIFS('선택형 (선택결과)'!$E$3:$E$1000,'선택형 (선택결과)'!$A$3:$A$1000,'선택형 (선택지)'!$M$12,'선택형 (선택결과)'!$C$3:$C$1000,1,'선택형 (선택결과)'!$D$3:$D$1000,0))+IF('선택형 (선택지)'!$M$13="",0,SUMIFS('선택형 (선택결과)'!$E$3:$E$1000,'선택형 (선택결과)'!$A$3:$A$1000,'선택형 (선택지)'!$M$13,'선택형 (선택결과)'!$C$3:$C$1000,1,'선택형 (선택결과)'!$D$3:$D$1000,0))+IF('선택형 (선택지)'!$M$14="",0,SUMIFS('선택형 (선택결과)'!$E$3:$E$1000,'선택형 (선택결과)'!$A$3:$A$1000,'선택형 (선택지)'!$M$14,'선택형 (선택결과)'!$C$3:$C$1000,1,'선택형 (선택결과)'!$D$3:$D$1000,0))+IF('선택형 (선택지)'!$M$15="",0,SUMIFS('선택형 (선택결과)'!$E$3:$E$1000,'선택형 (선택결과)'!$A$3:$A$1000,'선택형 (선택지)'!$M$15,'선택형 (선택결과)'!$C$3:$C$1000,1,'선택형 (선택결과)'!$D$3:$D$1000,0))+IF('선택형 (선택지)'!$M$16="",0,SUMIFS('선택형 (선택결과)'!$E$3:$E$1000,'선택형 (선택결과)'!$A$3:$A$1000,'선택형 (선택지)'!$M$16,'선택형 (선택결과)'!$C$3:$C$1000,1,'선택형 (선택결과)'!$D$3:$D$1000,0))+IF('선택형 (선택지)'!$M$17="",0,SUMIFS('선택형 (선택결과)'!$E$3:$E$1000,'선택형 (선택결과)'!$A$3:$A$1000,'선택형 (선택지)'!$M$17,'선택형 (선택결과)'!$C$3:$C$1000,1,'선택형 (선택결과)'!$D$3:$D$1000,0))+IF('선택형 (선택지)'!$M$18="",0,SUMIFS('선택형 (선택결과)'!$E$3:$E$1000,'선택형 (선택결과)'!$A$3:$A$1000,'선택형 (선택지)'!$M$18,'선택형 (선택결과)'!$C$3:$C$1000,1,'선택형 (선택결과)'!$D$3:$D$1000,0))+IF('선택형 (선택지)'!$M$19="",0,SUMIFS('선택형 (선택결과)'!$E$3:$E$1000,'선택형 (선택결과)'!$A$3:$A$1000,'선택형 (선택지)'!$M$19,'선택형 (선택결과)'!$C$3:$C$1000,1,'선택형 (선택결과)'!$D$3:$D$1000,0))+IF('선택형 (선택지)'!$M$20="",0,SUMIFS('선택형 (선택결과)'!$E$3:$E$1000,'선택형 (선택결과)'!$A$3:$A$1000,'선택형 (선택지)'!$M$20,'선택형 (선택결과)'!$C$3:$C$1000,1,'선택형 (선택결과)'!$D$3:$D$1000,0))+IF('선택형 (선택지)'!$M$21="",0,SUMIFS('선택형 (선택결과)'!$E$3:$E$1000,'선택형 (선택결과)'!$A$3:$A$1000,'선택형 (선택지)'!$M$21,'선택형 (선택결과)'!$C$3:$C$1000,1,'선택형 (선택결과)'!$D$3:$D$1000,0))+IF('선택형 (선택지)'!$M$22="",0,SUMIFS('선택형 (선택결과)'!$E$3:$E$1000,'선택형 (선택결과)'!$A$3:$A$1000,'선택형 (선택지)'!$M$22,'선택형 (선택결과)'!$C$3:$C$1000,1,'선택형 (선택결과)'!$D$3:$D$1000,0))+IF('선택형 (선택지)'!$M$23="",0,SUMIFS('선택형 (선택결과)'!$E$3:$E$1000,'선택형 (선택결과)'!$A$3:$A$1000,'선택형 (선택지)'!$M$23,'선택형 (선택결과)'!$C$3:$C$1000,1,'선택형 (선택결과)'!$D$3:$D$1000,0))+IF('선택형 (선택지)'!$M$24="",0,SUMIFS('선택형 (선택결과)'!$E$3:$E$1000,'선택형 (선택결과)'!$A$3:$A$1000,'선택형 (선택지)'!$M$24,'선택형 (선택결과)'!$C$3:$C$1000,1,'선택형 (선택결과)'!$D$3:$D$1000,0))+IF('선택형 (선택지)'!$M$25="",0,SUMIFS('선택형 (선택결과)'!$E$3:$E$1000,'선택형 (선택결과)'!$A$3:$A$1000,'선택형 (선택지)'!$M$25,'선택형 (선택결과)'!$C$3:$C$1000,1,'선택형 (선택결과)'!$D$3:$D$1000,0))+IF('선택형 (선택지)'!$M$26="",0,SUMIFS('선택형 (선택결과)'!$E$3:$E$1000,'선택형 (선택결과)'!$A$3:$A$1000,'선택형 (선택지)'!$M$26,'선택형 (선택결과)'!$C$3:$C$1000,1,'선택형 (선택결과)'!$D$3:$D$1000,0))+IF('선택형 (선택지)'!$M$27="",0,SUMIFS('선택형 (선택결과)'!$E$3:$E$1000,'선택형 (선택결과)'!$A$3:$A$1000,'선택형 (선택지)'!$M$27,'선택형 (선택결과)'!$C$3:$C$1000,1,'선택형 (선택결과)'!$D$3:$D$1000,0))+IF('선택형 (선택지)'!$M$28="",0,SUMIFS('선택형 (선택결과)'!$E$3:$E$1000,'선택형 (선택결과)'!$A$3:$A$1000,'선택형 (선택지)'!$M$28,'선택형 (선택결과)'!$C$3:$C$1000,1,'선택형 (선택결과)'!$D$3:$D$1000,0))+IF('선택형 (선택지)'!$M$29="",0,SUMIFS('선택형 (선택결과)'!$E$3:$E$1000,'선택형 (선택결과)'!$A$3:$A$1000,'선택형 (선택지)'!$M$29,'선택형 (선택결과)'!$C$3:$C$1000,1,'선택형 (선택결과)'!$D$3:$D$1000,0))+IF('선택형 (선택지)'!$M$30="",0,SUMIFS('선택형 (선택결과)'!$E$3:$E$1000,'선택형 (선택결과)'!$A$3:$A$1000,'선택형 (선택지)'!$M$30,'선택형 (선택결과)'!$C$3:$C$1000,1,'선택형 (선택결과)'!$D$3:$D$1000,0))+IF('선택형 (선택지)'!$M$31="",0,SUMIFS('선택형 (선택결과)'!$E$3:$E$1000,'선택형 (선택결과)'!$A$3:$A$1000,'선택형 (선택지)'!$M$31,'선택형 (선택결과)'!$C$3:$C$1000,1,'선택형 (선택결과)'!$D$3:$D$1000,0))+IF('선택형 (선택지)'!$M$32="",0,SUMIFS('선택형 (선택결과)'!$E$3:$E$1000,'선택형 (선택결과)'!$A$3:$A$1000,'선택형 (선택지)'!$M$32,'선택형 (선택결과)'!$C$3:$C$1000,1,'선택형 (선택결과)'!$D$3:$D$1000,0))+IF('선택형 (선택지)'!$M$33="",0,SUMIFS('선택형 (선택결과)'!$E$3:$E$1000,'선택형 (선택결과)'!$A$3:$A$1000,'선택형 (선택지)'!$M$33,'선택형 (선택결과)'!$C$3:$C$1000,1,'선택형 (선택결과)'!$D$3:$D$1000,0))+IF('선택형 (선택지)'!$M$34="",0,SUMIFS('선택형 (선택결과)'!$E$3:$E$1000,'선택형 (선택결과)'!$A$3:$A$1000,'선택형 (선택지)'!$M$34,'선택형 (선택결과)'!$C$3:$C$1000,1,'선택형 (선택결과)'!$D$3:$D$1000,0))+IF('선택형 (선택지)'!$M$35="",0,SUMIFS('선택형 (선택결과)'!$E$3:$E$1000,'선택형 (선택결과)'!$A$3:$A$1000,'선택형 (선택지)'!$M$35,'선택형 (선택결과)'!$C$3:$C$1000,1,'선택형 (선택결과)'!$D$3:$D$1000,0))+IF('선택형 (선택지)'!$M$36="",0,SUMIFS('선택형 (선택결과)'!$E$3:$E$1000,'선택형 (선택결과)'!$A$3:$A$1000,'선택형 (선택지)'!$M$36,'선택형 (선택결과)'!$C$3:$C$1000,1,'선택형 (선택결과)'!$D$3:$D$1000,0))+IF('선택형 (선택지)'!$M$37="",0,SUMIFS('선택형 (선택결과)'!$E$3:$E$1000,'선택형 (선택결과)'!$A$3:$A$1000,'선택형 (선택지)'!$M$37,'선택형 (선택결과)'!$C$3:$C$1000,1,'선택형 (선택결과)'!$D$3:$D$1000,0))+IF('선택형 (선택지)'!$M$38="",0,SUMIFS('선택형 (선택결과)'!$E$3:$E$1000,'선택형 (선택결과)'!$A$3:$A$1000,'선택형 (선택지)'!$M$38,'선택형 (선택결과)'!$C$3:$C$1000,1,'선택형 (선택결과)'!$D$3:$D$1000,0))+IF('선택형 (선택지)'!$M$39="",0,SUMIFS('선택형 (선택결과)'!$E$3:$E$1000,'선택형 (선택결과)'!$A$3:$A$1000,'선택형 (선택지)'!$M$39,'선택형 (선택결과)'!$C$3:$C$1000,1,'선택형 (선택결과)'!$D$3:$D$1000,0))+IF('선택형 (선택지)'!$M$40="",0,SUMIFS('선택형 (선택결과)'!$E$3:$E$1000,'선택형 (선택결과)'!$A$3:$A$1000,'선택형 (선택지)'!$M$40,'선택형 (선택결과)'!$C$3:$C$1000,1,'선택형 (선택결과)'!$D$3:$D$1000,0))+IF('선택형 (선택지)'!$M$41="",0,SUMIFS('선택형 (선택결과)'!$E$3:$E$1000,'선택형 (선택결과)'!$A$3:$A$1000,'선택형 (선택지)'!$M$41,'선택형 (선택결과)'!$C$3:$C$1000,1,'선택형 (선택결과)'!$D$3:$D$1000,0))+IF('선택형 (선택지)'!$M$42="",0,SUMIFS('선택형 (선택결과)'!$E$3:$E$1000,'선택형 (선택결과)'!$A$3:$A$1000,'선택형 (선택지)'!$M$42,'선택형 (선택결과)'!$C$3:$C$1000,1,'선택형 (선택결과)'!$D$3:$D$1000,0))</f>
        <v>-2500</v>
      </c>
      <c r="H3" s="147">
        <f>SUM(C3:G3)</f>
        <v>14900</v>
      </c>
      <c r="I3" s="152"/>
    </row>
    <row r="4" spans="2:9" ht="24" customHeight="1" x14ac:dyDescent="0.3">
      <c r="B4" s="150" t="s">
        <v>697</v>
      </c>
      <c r="C4" s="13">
        <f>0</f>
        <v>0</v>
      </c>
      <c r="D4" s="13">
        <f>SUMIFS('소비형 (결과)'!$D$3:$D$1001,'소비형 (결과)'!$C$3:$C$1001,1)+SUMIFS('소비형 (결과)'!$F$3:$F$1001,'소비형 (결과)'!$E$3:$E$1001,1)</f>
        <v>22</v>
      </c>
      <c r="E4" s="13">
        <f>SUMIFS('보상형 (NPC형)'!$H$3:$H$1001,'보상형 (NPC형)'!$G$3:$G$1001,3)+SUMIFS('보상형 (NPC형)'!$J$3:$J$1001,'보상형 (NPC형)'!$I$3:$I$1001,3)+SUMIFS('보상형 (조건형)'!$N$3:$N$1000,'보상형 (조건형)'!$M$3:$M$1000,3)+SUMIFS('보상형 (조건형)'!$P$3:$P$1000,'보상형 (조건형)'!$O$3:$O$1000,3)</f>
        <v>13</v>
      </c>
      <c r="F4" s="13">
        <f>IF('선택형 (선택지)'!$L$3="",0,SUMIFS('선택형 (선택결과)'!$E$3:$E$1000,'선택형 (선택결과)'!$A$3:$A$1000,'선택형 (선택지)'!$L$3,'선택형 (선택결과)'!$C$3:$C$1000,1,'선택형 (선택결과)'!$D$3:$D$1000,1))+IF('선택형 (선택지)'!$L$4="",0,SUMIFS('선택형 (선택결과)'!$E$3:$E$1000,'선택형 (선택결과)'!$A$3:$A$1000,'선택형 (선택지)'!$L$4,'선택형 (선택결과)'!$C$3:$C$1000,1,'선택형 (선택결과)'!$D$3:$D$1000,1))+IF('선택형 (선택지)'!$L$5="",0,SUMIFS('선택형 (선택결과)'!$E$3:$E$1000,'선택형 (선택결과)'!$A$3:$A$1000,'선택형 (선택지)'!$L$5,'선택형 (선택결과)'!$C$3:$C$1000,1,'선택형 (선택결과)'!$D$3:$D$1000,1))+IF('선택형 (선택지)'!$L$6="",0,SUMIFS('선택형 (선택결과)'!$E$3:$E$1000,'선택형 (선택결과)'!$A$3:$A$1000,'선택형 (선택지)'!$L$6,'선택형 (선택결과)'!$C$3:$C$1000,1,'선택형 (선택결과)'!$D$3:$D$1000,1))+IF('선택형 (선택지)'!$L$7="",0,SUMIFS('선택형 (선택결과)'!$E$3:$E$1000,'선택형 (선택결과)'!$A$3:$A$1000,'선택형 (선택지)'!$L$7,'선택형 (선택결과)'!$C$3:$C$1000,1,'선택형 (선택결과)'!$D$3:$D$1000,1))+IF('선택형 (선택지)'!$L$8="",0,SUMIFS('선택형 (선택결과)'!$E$3:$E$1000,'선택형 (선택결과)'!$A$3:$A$1000,'선택형 (선택지)'!$L$8,'선택형 (선택결과)'!$C$3:$C$1000,1,'선택형 (선택결과)'!$D$3:$D$1000,1))+IF('선택형 (선택지)'!$L$9="",0,SUMIFS('선택형 (선택결과)'!$E$3:$E$1000,'선택형 (선택결과)'!$A$3:$A$1000,'선택형 (선택지)'!$L$9,'선택형 (선택결과)'!$C$3:$C$1000,1,'선택형 (선택결과)'!$D$3:$D$1000,1))+IF('선택형 (선택지)'!$L$10="",0,SUMIFS('선택형 (선택결과)'!$E$3:$E$1000,'선택형 (선택결과)'!$A$3:$A$1000,'선택형 (선택지)'!$L$10,'선택형 (선택결과)'!$C$3:$C$1000,1,'선택형 (선택결과)'!$D$3:$D$1000,1))+IF('선택형 (선택지)'!$L$11="",0,SUMIFS('선택형 (선택결과)'!$E$3:$E$1000,'선택형 (선택결과)'!$A$3:$A$1000,'선택형 (선택지)'!$L$11,'선택형 (선택결과)'!$C$3:$C$1000,1,'선택형 (선택결과)'!$D$3:$D$1000,1))+IF('선택형 (선택지)'!$L$12="",0,SUMIFS('선택형 (선택결과)'!$E$3:$E$1000,'선택형 (선택결과)'!$A$3:$A$1000,'선택형 (선택지)'!$L$12,'선택형 (선택결과)'!$C$3:$C$1000,1,'선택형 (선택결과)'!$D$3:$D$1000,1))+IF('선택형 (선택지)'!$L$13="",0,SUMIFS('선택형 (선택결과)'!$E$3:$E$1000,'선택형 (선택결과)'!$A$3:$A$1000,'선택형 (선택지)'!$L$13,'선택형 (선택결과)'!$C$3:$C$1000,1,'선택형 (선택결과)'!$D$3:$D$1000,1))+IF('선택형 (선택지)'!$L$14="",0,SUMIFS('선택형 (선택결과)'!$E$3:$E$1000,'선택형 (선택결과)'!$A$3:$A$1000,'선택형 (선택지)'!$L$14,'선택형 (선택결과)'!$C$3:$C$1000,1,'선택형 (선택결과)'!$D$3:$D$1000,1))+IF('선택형 (선택지)'!$L$15="",0,SUMIFS('선택형 (선택결과)'!$E$3:$E$1000,'선택형 (선택결과)'!$A$3:$A$1000,'선택형 (선택지)'!$L$15,'선택형 (선택결과)'!$C$3:$C$1000,1,'선택형 (선택결과)'!$D$3:$D$1000,1))+IF('선택형 (선택지)'!$L$16="",0,SUMIFS('선택형 (선택결과)'!$E$3:$E$1000,'선택형 (선택결과)'!$A$3:$A$1000,'선택형 (선택지)'!$L$16,'선택형 (선택결과)'!$C$3:$C$1000,1,'선택형 (선택결과)'!$D$3:$D$1000,1))+IF('선택형 (선택지)'!$L$17="",0,SUMIFS('선택형 (선택결과)'!$E$3:$E$1000,'선택형 (선택결과)'!$A$3:$A$1000,'선택형 (선택지)'!$L$17,'선택형 (선택결과)'!$C$3:$C$1000,1,'선택형 (선택결과)'!$D$3:$D$1000,1))+IF('선택형 (선택지)'!$L$18="",0,SUMIFS('선택형 (선택결과)'!$E$3:$E$1000,'선택형 (선택결과)'!$A$3:$A$1000,'선택형 (선택지)'!$L$18,'선택형 (선택결과)'!$C$3:$C$1000,1,'선택형 (선택결과)'!$D$3:$D$1000,1))+IF('선택형 (선택지)'!$L$19="",0,SUMIFS('선택형 (선택결과)'!$E$3:$E$1000,'선택형 (선택결과)'!$A$3:$A$1000,'선택형 (선택지)'!$L$19,'선택형 (선택결과)'!$C$3:$C$1000,1,'선택형 (선택결과)'!$D$3:$D$1000,1))+IF('선택형 (선택지)'!$L$20="",0,SUMIFS('선택형 (선택결과)'!$E$3:$E$1000,'선택형 (선택결과)'!$A$3:$A$1000,'선택형 (선택지)'!$L$20,'선택형 (선택결과)'!$C$3:$C$1000,1,'선택형 (선택결과)'!$D$3:$D$1000,1))+IF('선택형 (선택지)'!$L$21="",0,SUMIFS('선택형 (선택결과)'!$E$3:$E$1000,'선택형 (선택결과)'!$A$3:$A$1000,'선택형 (선택지)'!$L$21,'선택형 (선택결과)'!$C$3:$C$1000,1,'선택형 (선택결과)'!$D$3:$D$1000,1))+IF('선택형 (선택지)'!$L$22="",0,SUMIFS('선택형 (선택결과)'!$E$3:$E$1000,'선택형 (선택결과)'!$A$3:$A$1000,'선택형 (선택지)'!$L$22,'선택형 (선택결과)'!$C$3:$C$1000,1,'선택형 (선택결과)'!$D$3:$D$1000,1))+IF('선택형 (선택지)'!$L$23="",0,SUMIFS('선택형 (선택결과)'!$E$3:$E$1000,'선택형 (선택결과)'!$A$3:$A$1000,'선택형 (선택지)'!$L$23,'선택형 (선택결과)'!$C$3:$C$1000,1,'선택형 (선택결과)'!$D$3:$D$1000,1))+IF('선택형 (선택지)'!$L$24="",0,SUMIFS('선택형 (선택결과)'!$E$3:$E$1000,'선택형 (선택결과)'!$A$3:$A$1000,'선택형 (선택지)'!$L$24,'선택형 (선택결과)'!$C$3:$C$1000,1,'선택형 (선택결과)'!$D$3:$D$1000,1))+IF('선택형 (선택지)'!$L$25="",0,SUMIFS('선택형 (선택결과)'!$E$3:$E$1000,'선택형 (선택결과)'!$A$3:$A$1000,'선택형 (선택지)'!$L$25,'선택형 (선택결과)'!$C$3:$C$1000,1,'선택형 (선택결과)'!$D$3:$D$1000,1))+IF('선택형 (선택지)'!$L$26="",0,SUMIFS('선택형 (선택결과)'!$E$3:$E$1000,'선택형 (선택결과)'!$A$3:$A$1000,'선택형 (선택지)'!$L$26,'선택형 (선택결과)'!$C$3:$C$1000,1,'선택형 (선택결과)'!$D$3:$D$1000,1))+IF('선택형 (선택지)'!$L$27="",0,SUMIFS('선택형 (선택결과)'!$E$3:$E$1000,'선택형 (선택결과)'!$A$3:$A$1000,'선택형 (선택지)'!$L$27,'선택형 (선택결과)'!$C$3:$C$1000,1,'선택형 (선택결과)'!$D$3:$D$1000,1))+IF('선택형 (선택지)'!$L$28="",0,SUMIFS('선택형 (선택결과)'!$E$3:$E$1000,'선택형 (선택결과)'!$A$3:$A$1000,'선택형 (선택지)'!$L$28,'선택형 (선택결과)'!$C$3:$C$1000,1,'선택형 (선택결과)'!$D$3:$D$1000,1))+IF('선택형 (선택지)'!$L$29="",0,SUMIFS('선택형 (선택결과)'!$E$3:$E$1000,'선택형 (선택결과)'!$A$3:$A$1000,'선택형 (선택지)'!$L$29,'선택형 (선택결과)'!$C$3:$C$1000,1,'선택형 (선택결과)'!$D$3:$D$1000,1))+IF('선택형 (선택지)'!$L$30="",0,SUMIFS('선택형 (선택결과)'!$E$3:$E$1000,'선택형 (선택결과)'!$A$3:$A$1000,'선택형 (선택지)'!$L$30,'선택형 (선택결과)'!$C$3:$C$1000,1,'선택형 (선택결과)'!$D$3:$D$1000,1))+IF('선택형 (선택지)'!$L$31="",0,SUMIFS('선택형 (선택결과)'!$E$3:$E$1000,'선택형 (선택결과)'!$A$3:$A$1000,'선택형 (선택지)'!$L$31,'선택형 (선택결과)'!$C$3:$C$1000,1,'선택형 (선택결과)'!$D$3:$D$1000,1))+IF('선택형 (선택지)'!$L$32="",0,SUMIFS('선택형 (선택결과)'!$E$3:$E$1000,'선택형 (선택결과)'!$A$3:$A$1000,'선택형 (선택지)'!$L$32,'선택형 (선택결과)'!$C$3:$C$1000,1,'선택형 (선택결과)'!$D$3:$D$1000,1))+IF('선택형 (선택지)'!$L$33="",0,SUMIFS('선택형 (선택결과)'!$E$3:$E$1000,'선택형 (선택결과)'!$A$3:$A$1000,'선택형 (선택지)'!$L$33,'선택형 (선택결과)'!$C$3:$C$1000,1,'선택형 (선택결과)'!$D$3:$D$1000,1))+IF('선택형 (선택지)'!$L$34="",0,SUMIFS('선택형 (선택결과)'!$E$3:$E$1000,'선택형 (선택결과)'!$A$3:$A$1000,'선택형 (선택지)'!$L$34,'선택형 (선택결과)'!$C$3:$C$1000,1,'선택형 (선택결과)'!$D$3:$D$1000,1))+IF('선택형 (선택지)'!$L$35="",0,SUMIFS('선택형 (선택결과)'!$E$3:$E$1000,'선택형 (선택결과)'!$A$3:$A$1000,'선택형 (선택지)'!$L$35,'선택형 (선택결과)'!$C$3:$C$1000,1,'선택형 (선택결과)'!$D$3:$D$1000,1))+IF('선택형 (선택지)'!$L$36="",0,SUMIFS('선택형 (선택결과)'!$E$3:$E$1000,'선택형 (선택결과)'!$A$3:$A$1000,'선택형 (선택지)'!$L$36,'선택형 (선택결과)'!$C$3:$C$1000,1,'선택형 (선택결과)'!$D$3:$D$1000,1))+IF('선택형 (선택지)'!$L$37="",0,SUMIFS('선택형 (선택결과)'!$E$3:$E$1000,'선택형 (선택결과)'!$A$3:$A$1000,'선택형 (선택지)'!$L$37,'선택형 (선택결과)'!$C$3:$C$1000,1,'선택형 (선택결과)'!$D$3:$D$1000,1))+IF('선택형 (선택지)'!$L$38="",0,SUMIFS('선택형 (선택결과)'!$E$3:$E$1000,'선택형 (선택결과)'!$A$3:$A$1000,'선택형 (선택지)'!$L$38,'선택형 (선택결과)'!$C$3:$C$1000,1,'선택형 (선택결과)'!$D$3:$D$1000,1))+IF('선택형 (선택지)'!$L$39="",0,SUMIFS('선택형 (선택결과)'!$E$3:$E$1000,'선택형 (선택결과)'!$A$3:$A$1000,'선택형 (선택지)'!$L$39,'선택형 (선택결과)'!$C$3:$C$1000,1,'선택형 (선택결과)'!$D$3:$D$1000,1))+IF('선택형 (선택지)'!$L$40="",0,SUMIFS('선택형 (선택결과)'!$E$3:$E$1000,'선택형 (선택결과)'!$A$3:$A$1000,'선택형 (선택지)'!$L$40,'선택형 (선택결과)'!$C$3:$C$1000,1,'선택형 (선택결과)'!$D$3:$D$1000,1))+IF('선택형 (선택지)'!$L$41="",0,SUMIFS('선택형 (선택결과)'!$E$3:$E$1000,'선택형 (선택결과)'!$A$3:$A$1000,'선택형 (선택지)'!$L$41,'선택형 (선택결과)'!$C$3:$C$1000,1,'선택형 (선택결과)'!$D$3:$D$1000,1))+IF('선택형 (선택지)'!$L$42="",0,SUMIFS('선택형 (선택결과)'!$E$3:$E$1000,'선택형 (선택결과)'!$A$3:$A$1000,'선택형 (선택지)'!$L$42,'선택형 (선택결과)'!$C$3:$C$1000,1,'선택형 (선택결과)'!$D$3:$D$1000,1))</f>
        <v>33</v>
      </c>
      <c r="G4" s="13">
        <f>IF('선택형 (선택지)'!$M$3="",0,SUMIFS('선택형 (선택결과)'!$E$3:$E$1000,'선택형 (선택결과)'!$A$3:$A$1000,'선택형 (선택지)'!$M$3,'선택형 (선택결과)'!$C$3:$C$1000,1,'선택형 (선택결과)'!$D$3:$D$1000,1))+IF('선택형 (선택지)'!$M$4="",0,SUMIFS('선택형 (선택결과)'!$E$3:$E$1000,'선택형 (선택결과)'!$A$3:$A$1000,'선택형 (선택지)'!$M$4,'선택형 (선택결과)'!$C$3:$C$1000,1,'선택형 (선택결과)'!$D$3:$D$1000,1))+IF('선택형 (선택지)'!$M$5="",0,SUMIFS('선택형 (선택결과)'!$E$3:$E$1000,'선택형 (선택결과)'!$A$3:$A$1000,'선택형 (선택지)'!$M$5,'선택형 (선택결과)'!$C$3:$C$1000,1,'선택형 (선택결과)'!$D$3:$D$1000,1))+IF('선택형 (선택지)'!$M$6="",0,SUMIFS('선택형 (선택결과)'!$E$3:$E$1000,'선택형 (선택결과)'!$A$3:$A$1000,'선택형 (선택지)'!$M$6,'선택형 (선택결과)'!$C$3:$C$1000,1,'선택형 (선택결과)'!$D$3:$D$1000,1))+IF('선택형 (선택지)'!$M$7="",0,SUMIFS('선택형 (선택결과)'!$E$3:$E$1000,'선택형 (선택결과)'!$A$3:$A$1000,'선택형 (선택지)'!$M$7,'선택형 (선택결과)'!$C$3:$C$1000,1,'선택형 (선택결과)'!$D$3:$D$1000,1))+IF('선택형 (선택지)'!$M$8="",0,SUMIFS('선택형 (선택결과)'!$E$3:$E$1000,'선택형 (선택결과)'!$A$3:$A$1000,'선택형 (선택지)'!$M$8,'선택형 (선택결과)'!$C$3:$C$1000,1,'선택형 (선택결과)'!$D$3:$D$1000,1))+IF('선택형 (선택지)'!$M$9="",0,SUMIFS('선택형 (선택결과)'!$E$3:$E$1000,'선택형 (선택결과)'!$A$3:$A$1000,'선택형 (선택지)'!$M$9,'선택형 (선택결과)'!$C$3:$C$1000,1,'선택형 (선택결과)'!$D$3:$D$1000,1))+IF('선택형 (선택지)'!$M$10="",0,SUMIFS('선택형 (선택결과)'!$E$3:$E$1000,'선택형 (선택결과)'!$A$3:$A$1000,'선택형 (선택지)'!$M$10,'선택형 (선택결과)'!$C$3:$C$1000,1,'선택형 (선택결과)'!$D$3:$D$1000,1))+IF('선택형 (선택지)'!$M$11="",0,SUMIFS('선택형 (선택결과)'!$E$3:$E$1000,'선택형 (선택결과)'!$A$3:$A$1000,'선택형 (선택지)'!$M$11,'선택형 (선택결과)'!$C$3:$C$1000,1,'선택형 (선택결과)'!$D$3:$D$1000,1))+IF('선택형 (선택지)'!$M$12="",0,SUMIFS('선택형 (선택결과)'!$E$3:$E$1000,'선택형 (선택결과)'!$A$3:$A$1000,'선택형 (선택지)'!$M$12,'선택형 (선택결과)'!$C$3:$C$1000,1,'선택형 (선택결과)'!$D$3:$D$1000,1))+IF('선택형 (선택지)'!$M$13="",0,SUMIFS('선택형 (선택결과)'!$E$3:$E$1000,'선택형 (선택결과)'!$A$3:$A$1000,'선택형 (선택지)'!$M$13,'선택형 (선택결과)'!$C$3:$C$1000,1,'선택형 (선택결과)'!$D$3:$D$1000,1))+IF('선택형 (선택지)'!$M$14="",0,SUMIFS('선택형 (선택결과)'!$E$3:$E$1000,'선택형 (선택결과)'!$A$3:$A$1000,'선택형 (선택지)'!$M$14,'선택형 (선택결과)'!$C$3:$C$1000,1,'선택형 (선택결과)'!$D$3:$D$1000,1))+IF('선택형 (선택지)'!$M$15="",0,SUMIFS('선택형 (선택결과)'!$E$3:$E$1000,'선택형 (선택결과)'!$A$3:$A$1000,'선택형 (선택지)'!$M$15,'선택형 (선택결과)'!$C$3:$C$1000,1,'선택형 (선택결과)'!$D$3:$D$1000,1))+IF('선택형 (선택지)'!$M$16="",0,SUMIFS('선택형 (선택결과)'!$E$3:$E$1000,'선택형 (선택결과)'!$A$3:$A$1000,'선택형 (선택지)'!$M$16,'선택형 (선택결과)'!$C$3:$C$1000,1,'선택형 (선택결과)'!$D$3:$D$1000,1))+IF('선택형 (선택지)'!$M$17="",0,SUMIFS('선택형 (선택결과)'!$E$3:$E$1000,'선택형 (선택결과)'!$A$3:$A$1000,'선택형 (선택지)'!$M$17,'선택형 (선택결과)'!$C$3:$C$1000,1,'선택형 (선택결과)'!$D$3:$D$1000,1))+IF('선택형 (선택지)'!$M$18="",0,SUMIFS('선택형 (선택결과)'!$E$3:$E$1000,'선택형 (선택결과)'!$A$3:$A$1000,'선택형 (선택지)'!$M$18,'선택형 (선택결과)'!$C$3:$C$1000,1,'선택형 (선택결과)'!$D$3:$D$1000,1))+IF('선택형 (선택지)'!$M$19="",0,SUMIFS('선택형 (선택결과)'!$E$3:$E$1000,'선택형 (선택결과)'!$A$3:$A$1000,'선택형 (선택지)'!$M$19,'선택형 (선택결과)'!$C$3:$C$1000,1,'선택형 (선택결과)'!$D$3:$D$1000,1))+IF('선택형 (선택지)'!$M$20="",0,SUMIFS('선택형 (선택결과)'!$E$3:$E$1000,'선택형 (선택결과)'!$A$3:$A$1000,'선택형 (선택지)'!$M$20,'선택형 (선택결과)'!$C$3:$C$1000,1,'선택형 (선택결과)'!$D$3:$D$1000,1))+IF('선택형 (선택지)'!$M$21="",0,SUMIFS('선택형 (선택결과)'!$E$3:$E$1000,'선택형 (선택결과)'!$A$3:$A$1000,'선택형 (선택지)'!$M$21,'선택형 (선택결과)'!$C$3:$C$1000,1,'선택형 (선택결과)'!$D$3:$D$1000,1))+IF('선택형 (선택지)'!$M$22="",0,SUMIFS('선택형 (선택결과)'!$E$3:$E$1000,'선택형 (선택결과)'!$A$3:$A$1000,'선택형 (선택지)'!$M$22,'선택형 (선택결과)'!$C$3:$C$1000,1,'선택형 (선택결과)'!$D$3:$D$1000,1))+IF('선택형 (선택지)'!$M$23="",0,SUMIFS('선택형 (선택결과)'!$E$3:$E$1000,'선택형 (선택결과)'!$A$3:$A$1000,'선택형 (선택지)'!$M$23,'선택형 (선택결과)'!$C$3:$C$1000,1,'선택형 (선택결과)'!$D$3:$D$1000,1))+IF('선택형 (선택지)'!$M$24="",0,SUMIFS('선택형 (선택결과)'!$E$3:$E$1000,'선택형 (선택결과)'!$A$3:$A$1000,'선택형 (선택지)'!$M$24,'선택형 (선택결과)'!$C$3:$C$1000,1,'선택형 (선택결과)'!$D$3:$D$1000,1))+IF('선택형 (선택지)'!$M$25="",0,SUMIFS('선택형 (선택결과)'!$E$3:$E$1000,'선택형 (선택결과)'!$A$3:$A$1000,'선택형 (선택지)'!$M$25,'선택형 (선택결과)'!$C$3:$C$1000,1,'선택형 (선택결과)'!$D$3:$D$1000,1))+IF('선택형 (선택지)'!$M$26="",0,SUMIFS('선택형 (선택결과)'!$E$3:$E$1000,'선택형 (선택결과)'!$A$3:$A$1000,'선택형 (선택지)'!$M$26,'선택형 (선택결과)'!$C$3:$C$1000,1,'선택형 (선택결과)'!$D$3:$D$1000,1))+IF('선택형 (선택지)'!$M$27="",0,SUMIFS('선택형 (선택결과)'!$E$3:$E$1000,'선택형 (선택결과)'!$A$3:$A$1000,'선택형 (선택지)'!$M$27,'선택형 (선택결과)'!$C$3:$C$1000,1,'선택형 (선택결과)'!$D$3:$D$1000,1))+IF('선택형 (선택지)'!$M$28="",0,SUMIFS('선택형 (선택결과)'!$E$3:$E$1000,'선택형 (선택결과)'!$A$3:$A$1000,'선택형 (선택지)'!$M$28,'선택형 (선택결과)'!$C$3:$C$1000,1,'선택형 (선택결과)'!$D$3:$D$1000,1))+IF('선택형 (선택지)'!$M$29="",0,SUMIFS('선택형 (선택결과)'!$E$3:$E$1000,'선택형 (선택결과)'!$A$3:$A$1000,'선택형 (선택지)'!$M$29,'선택형 (선택결과)'!$C$3:$C$1000,1,'선택형 (선택결과)'!$D$3:$D$1000,1))+IF('선택형 (선택지)'!$M$30="",0,SUMIFS('선택형 (선택결과)'!$E$3:$E$1000,'선택형 (선택결과)'!$A$3:$A$1000,'선택형 (선택지)'!$M$30,'선택형 (선택결과)'!$C$3:$C$1000,1,'선택형 (선택결과)'!$D$3:$D$1000,1))+IF('선택형 (선택지)'!$M$31="",0,SUMIFS('선택형 (선택결과)'!$E$3:$E$1000,'선택형 (선택결과)'!$A$3:$A$1000,'선택형 (선택지)'!$M$31,'선택형 (선택결과)'!$C$3:$C$1000,1,'선택형 (선택결과)'!$D$3:$D$1000,1))+IF('선택형 (선택지)'!$M$32="",0,SUMIFS('선택형 (선택결과)'!$E$3:$E$1000,'선택형 (선택결과)'!$A$3:$A$1000,'선택형 (선택지)'!$M$32,'선택형 (선택결과)'!$C$3:$C$1000,1,'선택형 (선택결과)'!$D$3:$D$1000,1))+IF('선택형 (선택지)'!$M$33="",0,SUMIFS('선택형 (선택결과)'!$E$3:$E$1000,'선택형 (선택결과)'!$A$3:$A$1000,'선택형 (선택지)'!$M$33,'선택형 (선택결과)'!$C$3:$C$1000,1,'선택형 (선택결과)'!$D$3:$D$1000,1))+IF('선택형 (선택지)'!$M$34="",0,SUMIFS('선택형 (선택결과)'!$E$3:$E$1000,'선택형 (선택결과)'!$A$3:$A$1000,'선택형 (선택지)'!$M$34,'선택형 (선택결과)'!$C$3:$C$1000,1,'선택형 (선택결과)'!$D$3:$D$1000,1))+IF('선택형 (선택지)'!$M$35="",0,SUMIFS('선택형 (선택결과)'!$E$3:$E$1000,'선택형 (선택결과)'!$A$3:$A$1000,'선택형 (선택지)'!$M$35,'선택형 (선택결과)'!$C$3:$C$1000,1,'선택형 (선택결과)'!$D$3:$D$1000,1))+IF('선택형 (선택지)'!$M$36="",0,SUMIFS('선택형 (선택결과)'!$E$3:$E$1000,'선택형 (선택결과)'!$A$3:$A$1000,'선택형 (선택지)'!$M$36,'선택형 (선택결과)'!$C$3:$C$1000,1,'선택형 (선택결과)'!$D$3:$D$1000,1))+IF('선택형 (선택지)'!$M$37="",0,SUMIFS('선택형 (선택결과)'!$E$3:$E$1000,'선택형 (선택결과)'!$A$3:$A$1000,'선택형 (선택지)'!$M$37,'선택형 (선택결과)'!$C$3:$C$1000,1,'선택형 (선택결과)'!$D$3:$D$1000,1))+IF('선택형 (선택지)'!$M$38="",0,SUMIFS('선택형 (선택결과)'!$E$3:$E$1000,'선택형 (선택결과)'!$A$3:$A$1000,'선택형 (선택지)'!$M$38,'선택형 (선택결과)'!$C$3:$C$1000,1,'선택형 (선택결과)'!$D$3:$D$1000,1))+IF('선택형 (선택지)'!$M$39="",0,SUMIFS('선택형 (선택결과)'!$E$3:$E$1000,'선택형 (선택결과)'!$A$3:$A$1000,'선택형 (선택지)'!$M$39,'선택형 (선택결과)'!$C$3:$C$1000,1,'선택형 (선택결과)'!$D$3:$D$1000,1))+IF('선택형 (선택지)'!$M$40="",0,SUMIFS('선택형 (선택결과)'!$E$3:$E$1000,'선택형 (선택결과)'!$A$3:$A$1000,'선택형 (선택지)'!$M$40,'선택형 (선택결과)'!$C$3:$C$1000,1,'선택형 (선택결과)'!$D$3:$D$1000,1))+IF('선택형 (선택지)'!$M$41="",0,SUMIFS('선택형 (선택결과)'!$E$3:$E$1000,'선택형 (선택결과)'!$A$3:$A$1000,'선택형 (선택지)'!$M$41,'선택형 (선택결과)'!$C$3:$C$1000,1,'선택형 (선택결과)'!$D$3:$D$1000,1))+IF('선택형 (선택지)'!$M$42="",0,SUMIFS('선택형 (선택결과)'!$E$3:$E$1000,'선택형 (선택결과)'!$A$3:$A$1000,'선택형 (선택지)'!$M$42,'선택형 (선택결과)'!$C$3:$C$1000,1,'선택형 (선택결과)'!$D$3:$D$1000,1))</f>
        <v>-7</v>
      </c>
      <c r="H4" s="147">
        <f>SUM(C4:G4)</f>
        <v>61</v>
      </c>
      <c r="I4" s="152"/>
    </row>
    <row r="5" spans="2:9" ht="24" customHeight="1" x14ac:dyDescent="0.3">
      <c r="B5" s="150" t="s">
        <v>698</v>
      </c>
      <c r="C5" s="13">
        <f>0</f>
        <v>0</v>
      </c>
      <c r="D5" s="13">
        <f>SUMIFS('소비형 (결과)'!$D$3:$D$1001,'소비형 (결과)'!$C$3:$C$1001,2)+SUMIFS('소비형 (결과)'!$F$3:$F$1001,'소비형 (결과)'!$E$3:$E$1001,2)</f>
        <v>20</v>
      </c>
      <c r="E5" s="13">
        <f>SUMIFS('보상형 (NPC형)'!$H$3:$H$1001,'보상형 (NPC형)'!$G$3:$G$1001,2)+SUMIFS('보상형 (NPC형)'!$J$3:$J$1001,'보상형 (NPC형)'!$I$3:$I$1001,2)+SUMIFS('보상형 (조건형)'!$N$3:$N$1000,'보상형 (조건형)'!$M$3:$M$1000,2)+SUMIFS('보상형 (조건형)'!$P$3:$P$1000,'보상형 (조건형)'!$O$3:$O$1000,2)</f>
        <v>5</v>
      </c>
      <c r="F5" s="13">
        <f>IF('선택형 (선택지)'!$L$3="",0,SUMIFS('선택형 (선택결과)'!$E$3:$E$1000,'선택형 (선택결과)'!$A$3:$A$1000,'선택형 (선택지)'!$L$3,'선택형 (선택결과)'!$C$3:$C$1000,1,'선택형 (선택결과)'!$D$3:$D$1000,2))+IF('선택형 (선택지)'!$L$4="",0,SUMIFS('선택형 (선택결과)'!$E$3:$E$1000,'선택형 (선택결과)'!$A$3:$A$1000,'선택형 (선택지)'!$L$4,'선택형 (선택결과)'!$C$3:$C$1000,1,'선택형 (선택결과)'!$D$3:$D$1000,2))+IF('선택형 (선택지)'!$L$5="",0,SUMIFS('선택형 (선택결과)'!$E$3:$E$1000,'선택형 (선택결과)'!$A$3:$A$1000,'선택형 (선택지)'!$L$5,'선택형 (선택결과)'!$C$3:$C$1000,1,'선택형 (선택결과)'!$D$3:$D$1000,2))+IF('선택형 (선택지)'!$L$6="",0,SUMIFS('선택형 (선택결과)'!$E$3:$E$1000,'선택형 (선택결과)'!$A$3:$A$1000,'선택형 (선택지)'!$L$6,'선택형 (선택결과)'!$C$3:$C$1000,1,'선택형 (선택결과)'!$D$3:$D$1000,2))+IF('선택형 (선택지)'!$L$7="",0,SUMIFS('선택형 (선택결과)'!$E$3:$E$1000,'선택형 (선택결과)'!$A$3:$A$1000,'선택형 (선택지)'!$L$7,'선택형 (선택결과)'!$C$3:$C$1000,1,'선택형 (선택결과)'!$D$3:$D$1000,2))+IF('선택형 (선택지)'!$L$8="",0,SUMIFS('선택형 (선택결과)'!$E$3:$E$1000,'선택형 (선택결과)'!$A$3:$A$1000,'선택형 (선택지)'!$L$8,'선택형 (선택결과)'!$C$3:$C$1000,1,'선택형 (선택결과)'!$D$3:$D$1000,2))+IF('선택형 (선택지)'!$L$9="",0,SUMIFS('선택형 (선택결과)'!$E$3:$E$1000,'선택형 (선택결과)'!$A$3:$A$1000,'선택형 (선택지)'!$L$9,'선택형 (선택결과)'!$C$3:$C$1000,1,'선택형 (선택결과)'!$D$3:$D$1000,2))+IF('선택형 (선택지)'!$L$10="",0,SUMIFS('선택형 (선택결과)'!$E$3:$E$1000,'선택형 (선택결과)'!$A$3:$A$1000,'선택형 (선택지)'!$L$10,'선택형 (선택결과)'!$C$3:$C$1000,1,'선택형 (선택결과)'!$D$3:$D$1000,2))+IF('선택형 (선택지)'!$L$11="",0,SUMIFS('선택형 (선택결과)'!$E$3:$E$1000,'선택형 (선택결과)'!$A$3:$A$1000,'선택형 (선택지)'!$L$11,'선택형 (선택결과)'!$C$3:$C$1000,1,'선택형 (선택결과)'!$D$3:$D$1000,2))+IF('선택형 (선택지)'!$L$12="",0,SUMIFS('선택형 (선택결과)'!$E$3:$E$1000,'선택형 (선택결과)'!$A$3:$A$1000,'선택형 (선택지)'!$L$12,'선택형 (선택결과)'!$C$3:$C$1000,1,'선택형 (선택결과)'!$D$3:$D$1000,2))+IF('선택형 (선택지)'!$L$13="",0,SUMIFS('선택형 (선택결과)'!$E$3:$E$1000,'선택형 (선택결과)'!$A$3:$A$1000,'선택형 (선택지)'!$L$13,'선택형 (선택결과)'!$C$3:$C$1000,1,'선택형 (선택결과)'!$D$3:$D$1000,2))+IF('선택형 (선택지)'!$L$14="",0,SUMIFS('선택형 (선택결과)'!$E$3:$E$1000,'선택형 (선택결과)'!$A$3:$A$1000,'선택형 (선택지)'!$L$14,'선택형 (선택결과)'!$C$3:$C$1000,1,'선택형 (선택결과)'!$D$3:$D$1000,2))+IF('선택형 (선택지)'!$L$15="",0,SUMIFS('선택형 (선택결과)'!$E$3:$E$1000,'선택형 (선택결과)'!$A$3:$A$1000,'선택형 (선택지)'!$L$15,'선택형 (선택결과)'!$C$3:$C$1000,1,'선택형 (선택결과)'!$D$3:$D$1000,2))+IF('선택형 (선택지)'!$L$16="",0,SUMIFS('선택형 (선택결과)'!$E$3:$E$1000,'선택형 (선택결과)'!$A$3:$A$1000,'선택형 (선택지)'!$L$16,'선택형 (선택결과)'!$C$3:$C$1000,1,'선택형 (선택결과)'!$D$3:$D$1000,2))+IF('선택형 (선택지)'!$L$17="",0,SUMIFS('선택형 (선택결과)'!$E$3:$E$1000,'선택형 (선택결과)'!$A$3:$A$1000,'선택형 (선택지)'!$L$17,'선택형 (선택결과)'!$C$3:$C$1000,1,'선택형 (선택결과)'!$D$3:$D$1000,2))+IF('선택형 (선택지)'!$L$18="",0,SUMIFS('선택형 (선택결과)'!$E$3:$E$1000,'선택형 (선택결과)'!$A$3:$A$1000,'선택형 (선택지)'!$L$18,'선택형 (선택결과)'!$C$3:$C$1000,1,'선택형 (선택결과)'!$D$3:$D$1000,2))+IF('선택형 (선택지)'!$L$19="",0,SUMIFS('선택형 (선택결과)'!$E$3:$E$1000,'선택형 (선택결과)'!$A$3:$A$1000,'선택형 (선택지)'!$L$19,'선택형 (선택결과)'!$C$3:$C$1000,1,'선택형 (선택결과)'!$D$3:$D$1000,2))+IF('선택형 (선택지)'!$L$20="",0,SUMIFS('선택형 (선택결과)'!$E$3:$E$1000,'선택형 (선택결과)'!$A$3:$A$1000,'선택형 (선택지)'!$L$20,'선택형 (선택결과)'!$C$3:$C$1000,1,'선택형 (선택결과)'!$D$3:$D$1000,2))+IF('선택형 (선택지)'!$L$21="",0,SUMIFS('선택형 (선택결과)'!$E$3:$E$1000,'선택형 (선택결과)'!$A$3:$A$1000,'선택형 (선택지)'!$L$21,'선택형 (선택결과)'!$C$3:$C$1000,1,'선택형 (선택결과)'!$D$3:$D$1000,2))+IF('선택형 (선택지)'!$L$22="",0,SUMIFS('선택형 (선택결과)'!$E$3:$E$1000,'선택형 (선택결과)'!$A$3:$A$1000,'선택형 (선택지)'!$L$22,'선택형 (선택결과)'!$C$3:$C$1000,1,'선택형 (선택결과)'!$D$3:$D$1000,2))+IF('선택형 (선택지)'!$L$23="",0,SUMIFS('선택형 (선택결과)'!$E$3:$E$1000,'선택형 (선택결과)'!$A$3:$A$1000,'선택형 (선택지)'!$L$23,'선택형 (선택결과)'!$C$3:$C$1000,1,'선택형 (선택결과)'!$D$3:$D$1000,2))+IF('선택형 (선택지)'!$L$24="",0,SUMIFS('선택형 (선택결과)'!$E$3:$E$1000,'선택형 (선택결과)'!$A$3:$A$1000,'선택형 (선택지)'!$L$24,'선택형 (선택결과)'!$C$3:$C$1000,1,'선택형 (선택결과)'!$D$3:$D$1000,2))+IF('선택형 (선택지)'!$L$25="",0,SUMIFS('선택형 (선택결과)'!$E$3:$E$1000,'선택형 (선택결과)'!$A$3:$A$1000,'선택형 (선택지)'!$L$25,'선택형 (선택결과)'!$C$3:$C$1000,1,'선택형 (선택결과)'!$D$3:$D$1000,2))+IF('선택형 (선택지)'!$L$26="",0,SUMIFS('선택형 (선택결과)'!$E$3:$E$1000,'선택형 (선택결과)'!$A$3:$A$1000,'선택형 (선택지)'!$L$26,'선택형 (선택결과)'!$C$3:$C$1000,1,'선택형 (선택결과)'!$D$3:$D$1000,2))+IF('선택형 (선택지)'!$L$27="",0,SUMIFS('선택형 (선택결과)'!$E$3:$E$1000,'선택형 (선택결과)'!$A$3:$A$1000,'선택형 (선택지)'!$L$27,'선택형 (선택결과)'!$C$3:$C$1000,1,'선택형 (선택결과)'!$D$3:$D$1000,2))+IF('선택형 (선택지)'!$L$28="",0,SUMIFS('선택형 (선택결과)'!$E$3:$E$1000,'선택형 (선택결과)'!$A$3:$A$1000,'선택형 (선택지)'!$L$28,'선택형 (선택결과)'!$C$3:$C$1000,1,'선택형 (선택결과)'!$D$3:$D$1000,2))+IF('선택형 (선택지)'!$L$29="",0,SUMIFS('선택형 (선택결과)'!$E$3:$E$1000,'선택형 (선택결과)'!$A$3:$A$1000,'선택형 (선택지)'!$L$29,'선택형 (선택결과)'!$C$3:$C$1000,1,'선택형 (선택결과)'!$D$3:$D$1000,2))+IF('선택형 (선택지)'!$L$30="",0,SUMIFS('선택형 (선택결과)'!$E$3:$E$1000,'선택형 (선택결과)'!$A$3:$A$1000,'선택형 (선택지)'!$L$30,'선택형 (선택결과)'!$C$3:$C$1000,1,'선택형 (선택결과)'!$D$3:$D$1000,2))+IF('선택형 (선택지)'!$L$31="",0,SUMIFS('선택형 (선택결과)'!$E$3:$E$1000,'선택형 (선택결과)'!$A$3:$A$1000,'선택형 (선택지)'!$L$31,'선택형 (선택결과)'!$C$3:$C$1000,1,'선택형 (선택결과)'!$D$3:$D$1000,2))+IF('선택형 (선택지)'!$L$32="",0,SUMIFS('선택형 (선택결과)'!$E$3:$E$1000,'선택형 (선택결과)'!$A$3:$A$1000,'선택형 (선택지)'!$L$32,'선택형 (선택결과)'!$C$3:$C$1000,1,'선택형 (선택결과)'!$D$3:$D$1000,2))+IF('선택형 (선택지)'!$L$33="",0,SUMIFS('선택형 (선택결과)'!$E$3:$E$1000,'선택형 (선택결과)'!$A$3:$A$1000,'선택형 (선택지)'!$L$33,'선택형 (선택결과)'!$C$3:$C$1000,1,'선택형 (선택결과)'!$D$3:$D$1000,2))+IF('선택형 (선택지)'!$L$34="",0,SUMIFS('선택형 (선택결과)'!$E$3:$E$1000,'선택형 (선택결과)'!$A$3:$A$1000,'선택형 (선택지)'!$L$34,'선택형 (선택결과)'!$C$3:$C$1000,1,'선택형 (선택결과)'!$D$3:$D$1000,2))+IF('선택형 (선택지)'!$L$35="",0,SUMIFS('선택형 (선택결과)'!$E$3:$E$1000,'선택형 (선택결과)'!$A$3:$A$1000,'선택형 (선택지)'!$L$35,'선택형 (선택결과)'!$C$3:$C$1000,1,'선택형 (선택결과)'!$D$3:$D$1000,2))+IF('선택형 (선택지)'!$L$36="",0,SUMIFS('선택형 (선택결과)'!$E$3:$E$1000,'선택형 (선택결과)'!$A$3:$A$1000,'선택형 (선택지)'!$L$36,'선택형 (선택결과)'!$C$3:$C$1000,1,'선택형 (선택결과)'!$D$3:$D$1000,2))+IF('선택형 (선택지)'!$L$37="",0,SUMIFS('선택형 (선택결과)'!$E$3:$E$1000,'선택형 (선택결과)'!$A$3:$A$1000,'선택형 (선택지)'!$L$37,'선택형 (선택결과)'!$C$3:$C$1000,1,'선택형 (선택결과)'!$D$3:$D$1000,2))+IF('선택형 (선택지)'!$L$38="",0,SUMIFS('선택형 (선택결과)'!$E$3:$E$1000,'선택형 (선택결과)'!$A$3:$A$1000,'선택형 (선택지)'!$L$38,'선택형 (선택결과)'!$C$3:$C$1000,1,'선택형 (선택결과)'!$D$3:$D$1000,2))+IF('선택형 (선택지)'!$L$39="",0,SUMIFS('선택형 (선택결과)'!$E$3:$E$1000,'선택형 (선택결과)'!$A$3:$A$1000,'선택형 (선택지)'!$L$39,'선택형 (선택결과)'!$C$3:$C$1000,1,'선택형 (선택결과)'!$D$3:$D$1000,2))+IF('선택형 (선택지)'!$L$40="",0,SUMIFS('선택형 (선택결과)'!$E$3:$E$1000,'선택형 (선택결과)'!$A$3:$A$1000,'선택형 (선택지)'!$L$40,'선택형 (선택결과)'!$C$3:$C$1000,1,'선택형 (선택결과)'!$D$3:$D$1000,2))+IF('선택형 (선택지)'!$L$41="",0,SUMIFS('선택형 (선택결과)'!$E$3:$E$1000,'선택형 (선택결과)'!$A$3:$A$1000,'선택형 (선택지)'!$L$41,'선택형 (선택결과)'!$C$3:$C$1000,1,'선택형 (선택결과)'!$D$3:$D$1000,2))+IF('선택형 (선택지)'!$L$42="",0,SUMIFS('선택형 (선택결과)'!$E$3:$E$1000,'선택형 (선택결과)'!$A$3:$A$1000,'선택형 (선택지)'!$L$42,'선택형 (선택결과)'!$C$3:$C$1000,1,'선택형 (선택결과)'!$D$3:$D$1000,2))</f>
        <v>23</v>
      </c>
      <c r="G5" s="13">
        <f>IF('선택형 (선택지)'!$M$3="",0,SUMIFS('선택형 (선택결과)'!$E$3:$E$1000,'선택형 (선택결과)'!$A$3:$A$1000,'선택형 (선택지)'!$M$3,'선택형 (선택결과)'!$C$3:$C$1000,1,'선택형 (선택결과)'!$D$3:$D$1000,2))+IF('선택형 (선택지)'!$M$4="",0,SUMIFS('선택형 (선택결과)'!$E$3:$E$1000,'선택형 (선택결과)'!$A$3:$A$1000,'선택형 (선택지)'!$M$4,'선택형 (선택결과)'!$C$3:$C$1000,1,'선택형 (선택결과)'!$D$3:$D$1000,2))+IF('선택형 (선택지)'!$M$5="",0,SUMIFS('선택형 (선택결과)'!$E$3:$E$1000,'선택형 (선택결과)'!$A$3:$A$1000,'선택형 (선택지)'!$M$5,'선택형 (선택결과)'!$C$3:$C$1000,1,'선택형 (선택결과)'!$D$3:$D$1000,2))+IF('선택형 (선택지)'!$M$6="",0,SUMIFS('선택형 (선택결과)'!$E$3:$E$1000,'선택형 (선택결과)'!$A$3:$A$1000,'선택형 (선택지)'!$M$6,'선택형 (선택결과)'!$C$3:$C$1000,1,'선택형 (선택결과)'!$D$3:$D$1000,2))+IF('선택형 (선택지)'!$M$7="",0,SUMIFS('선택형 (선택결과)'!$E$3:$E$1000,'선택형 (선택결과)'!$A$3:$A$1000,'선택형 (선택지)'!$M$7,'선택형 (선택결과)'!$C$3:$C$1000,1,'선택형 (선택결과)'!$D$3:$D$1000,2))+IF('선택형 (선택지)'!$M$8="",0,SUMIFS('선택형 (선택결과)'!$E$3:$E$1000,'선택형 (선택결과)'!$A$3:$A$1000,'선택형 (선택지)'!$M$8,'선택형 (선택결과)'!$C$3:$C$1000,1,'선택형 (선택결과)'!$D$3:$D$1000,2))+IF('선택형 (선택지)'!$M$9="",0,SUMIFS('선택형 (선택결과)'!$E$3:$E$1000,'선택형 (선택결과)'!$A$3:$A$1000,'선택형 (선택지)'!$M$9,'선택형 (선택결과)'!$C$3:$C$1000,1,'선택형 (선택결과)'!$D$3:$D$1000,2))+IF('선택형 (선택지)'!$M$10="",0,SUMIFS('선택형 (선택결과)'!$E$3:$E$1000,'선택형 (선택결과)'!$A$3:$A$1000,'선택형 (선택지)'!$M$10,'선택형 (선택결과)'!$C$3:$C$1000,1,'선택형 (선택결과)'!$D$3:$D$1000,2))+IF('선택형 (선택지)'!$M$11="",0,SUMIFS('선택형 (선택결과)'!$E$3:$E$1000,'선택형 (선택결과)'!$A$3:$A$1000,'선택형 (선택지)'!$M$11,'선택형 (선택결과)'!$C$3:$C$1000,1,'선택형 (선택결과)'!$D$3:$D$1000,2))+IF('선택형 (선택지)'!$M$12="",0,SUMIFS('선택형 (선택결과)'!$E$3:$E$1000,'선택형 (선택결과)'!$A$3:$A$1000,'선택형 (선택지)'!$M$12,'선택형 (선택결과)'!$C$3:$C$1000,1,'선택형 (선택결과)'!$D$3:$D$1000,2))+IF('선택형 (선택지)'!$M$13="",0,SUMIFS('선택형 (선택결과)'!$E$3:$E$1000,'선택형 (선택결과)'!$A$3:$A$1000,'선택형 (선택지)'!$M$13,'선택형 (선택결과)'!$C$3:$C$1000,1,'선택형 (선택결과)'!$D$3:$D$1000,2))+IF('선택형 (선택지)'!$M$14="",0,SUMIFS('선택형 (선택결과)'!$E$3:$E$1000,'선택형 (선택결과)'!$A$3:$A$1000,'선택형 (선택지)'!$M$14,'선택형 (선택결과)'!$C$3:$C$1000,1,'선택형 (선택결과)'!$D$3:$D$1000,2))+IF('선택형 (선택지)'!$M$15="",0,SUMIFS('선택형 (선택결과)'!$E$3:$E$1000,'선택형 (선택결과)'!$A$3:$A$1000,'선택형 (선택지)'!$M$15,'선택형 (선택결과)'!$C$3:$C$1000,1,'선택형 (선택결과)'!$D$3:$D$1000,2))+IF('선택형 (선택지)'!$M$16="",0,SUMIFS('선택형 (선택결과)'!$E$3:$E$1000,'선택형 (선택결과)'!$A$3:$A$1000,'선택형 (선택지)'!$M$16,'선택형 (선택결과)'!$C$3:$C$1000,1,'선택형 (선택결과)'!$D$3:$D$1000,2))+IF('선택형 (선택지)'!$M$17="",0,SUMIFS('선택형 (선택결과)'!$E$3:$E$1000,'선택형 (선택결과)'!$A$3:$A$1000,'선택형 (선택지)'!$M$17,'선택형 (선택결과)'!$C$3:$C$1000,1,'선택형 (선택결과)'!$D$3:$D$1000,2))+IF('선택형 (선택지)'!$M$18="",0,SUMIFS('선택형 (선택결과)'!$E$3:$E$1000,'선택형 (선택결과)'!$A$3:$A$1000,'선택형 (선택지)'!$M$18,'선택형 (선택결과)'!$C$3:$C$1000,1,'선택형 (선택결과)'!$D$3:$D$1000,2))+IF('선택형 (선택지)'!$M$19="",0,SUMIFS('선택형 (선택결과)'!$E$3:$E$1000,'선택형 (선택결과)'!$A$3:$A$1000,'선택형 (선택지)'!$M$19,'선택형 (선택결과)'!$C$3:$C$1000,1,'선택형 (선택결과)'!$D$3:$D$1000,2))+IF('선택형 (선택지)'!$M$20="",0,SUMIFS('선택형 (선택결과)'!$E$3:$E$1000,'선택형 (선택결과)'!$A$3:$A$1000,'선택형 (선택지)'!$M$20,'선택형 (선택결과)'!$C$3:$C$1000,1,'선택형 (선택결과)'!$D$3:$D$1000,2))+IF('선택형 (선택지)'!$M$21="",0,SUMIFS('선택형 (선택결과)'!$E$3:$E$1000,'선택형 (선택결과)'!$A$3:$A$1000,'선택형 (선택지)'!$M$21,'선택형 (선택결과)'!$C$3:$C$1000,1,'선택형 (선택결과)'!$D$3:$D$1000,2))+IF('선택형 (선택지)'!$M$22="",0,SUMIFS('선택형 (선택결과)'!$E$3:$E$1000,'선택형 (선택결과)'!$A$3:$A$1000,'선택형 (선택지)'!$M$22,'선택형 (선택결과)'!$C$3:$C$1000,1,'선택형 (선택결과)'!$D$3:$D$1000,2))+IF('선택형 (선택지)'!$M$23="",0,SUMIFS('선택형 (선택결과)'!$E$3:$E$1000,'선택형 (선택결과)'!$A$3:$A$1000,'선택형 (선택지)'!$M$23,'선택형 (선택결과)'!$C$3:$C$1000,1,'선택형 (선택결과)'!$D$3:$D$1000,2))+IF('선택형 (선택지)'!$M$24="",0,SUMIFS('선택형 (선택결과)'!$E$3:$E$1000,'선택형 (선택결과)'!$A$3:$A$1000,'선택형 (선택지)'!$M$24,'선택형 (선택결과)'!$C$3:$C$1000,1,'선택형 (선택결과)'!$D$3:$D$1000,2))+IF('선택형 (선택지)'!$M$25="",0,SUMIFS('선택형 (선택결과)'!$E$3:$E$1000,'선택형 (선택결과)'!$A$3:$A$1000,'선택형 (선택지)'!$M$25,'선택형 (선택결과)'!$C$3:$C$1000,1,'선택형 (선택결과)'!$D$3:$D$1000,2))+IF('선택형 (선택지)'!$M$26="",0,SUMIFS('선택형 (선택결과)'!$E$3:$E$1000,'선택형 (선택결과)'!$A$3:$A$1000,'선택형 (선택지)'!$M$26,'선택형 (선택결과)'!$C$3:$C$1000,1,'선택형 (선택결과)'!$D$3:$D$1000,2))+IF('선택형 (선택지)'!$M$27="",0,SUMIFS('선택형 (선택결과)'!$E$3:$E$1000,'선택형 (선택결과)'!$A$3:$A$1000,'선택형 (선택지)'!$M$27,'선택형 (선택결과)'!$C$3:$C$1000,1,'선택형 (선택결과)'!$D$3:$D$1000,2))+IF('선택형 (선택지)'!$M$28="",0,SUMIFS('선택형 (선택결과)'!$E$3:$E$1000,'선택형 (선택결과)'!$A$3:$A$1000,'선택형 (선택지)'!$M$28,'선택형 (선택결과)'!$C$3:$C$1000,1,'선택형 (선택결과)'!$D$3:$D$1000,2))+IF('선택형 (선택지)'!$M$29="",0,SUMIFS('선택형 (선택결과)'!$E$3:$E$1000,'선택형 (선택결과)'!$A$3:$A$1000,'선택형 (선택지)'!$M$29,'선택형 (선택결과)'!$C$3:$C$1000,1,'선택형 (선택결과)'!$D$3:$D$1000,2))+IF('선택형 (선택지)'!$M$30="",0,SUMIFS('선택형 (선택결과)'!$E$3:$E$1000,'선택형 (선택결과)'!$A$3:$A$1000,'선택형 (선택지)'!$M$30,'선택형 (선택결과)'!$C$3:$C$1000,1,'선택형 (선택결과)'!$D$3:$D$1000,2))+IF('선택형 (선택지)'!$M$31="",0,SUMIFS('선택형 (선택결과)'!$E$3:$E$1000,'선택형 (선택결과)'!$A$3:$A$1000,'선택형 (선택지)'!$M$31,'선택형 (선택결과)'!$C$3:$C$1000,1,'선택형 (선택결과)'!$D$3:$D$1000,2))+IF('선택형 (선택지)'!$M$32="",0,SUMIFS('선택형 (선택결과)'!$E$3:$E$1000,'선택형 (선택결과)'!$A$3:$A$1000,'선택형 (선택지)'!$M$32,'선택형 (선택결과)'!$C$3:$C$1000,1,'선택형 (선택결과)'!$D$3:$D$1000,2))+IF('선택형 (선택지)'!$M$33="",0,SUMIFS('선택형 (선택결과)'!$E$3:$E$1000,'선택형 (선택결과)'!$A$3:$A$1000,'선택형 (선택지)'!$M$33,'선택형 (선택결과)'!$C$3:$C$1000,1,'선택형 (선택결과)'!$D$3:$D$1000,2))+IF('선택형 (선택지)'!$M$34="",0,SUMIFS('선택형 (선택결과)'!$E$3:$E$1000,'선택형 (선택결과)'!$A$3:$A$1000,'선택형 (선택지)'!$M$34,'선택형 (선택결과)'!$C$3:$C$1000,1,'선택형 (선택결과)'!$D$3:$D$1000,2))+IF('선택형 (선택지)'!$M$35="",0,SUMIFS('선택형 (선택결과)'!$E$3:$E$1000,'선택형 (선택결과)'!$A$3:$A$1000,'선택형 (선택지)'!$M$35,'선택형 (선택결과)'!$C$3:$C$1000,1,'선택형 (선택결과)'!$D$3:$D$1000,2))+IF('선택형 (선택지)'!$M$36="",0,SUMIFS('선택형 (선택결과)'!$E$3:$E$1000,'선택형 (선택결과)'!$A$3:$A$1000,'선택형 (선택지)'!$M$36,'선택형 (선택결과)'!$C$3:$C$1000,1,'선택형 (선택결과)'!$D$3:$D$1000,2))+IF('선택형 (선택지)'!$M$37="",0,SUMIFS('선택형 (선택결과)'!$E$3:$E$1000,'선택형 (선택결과)'!$A$3:$A$1000,'선택형 (선택지)'!$M$37,'선택형 (선택결과)'!$C$3:$C$1000,1,'선택형 (선택결과)'!$D$3:$D$1000,2))+IF('선택형 (선택지)'!$M$38="",0,SUMIFS('선택형 (선택결과)'!$E$3:$E$1000,'선택형 (선택결과)'!$A$3:$A$1000,'선택형 (선택지)'!$M$38,'선택형 (선택결과)'!$C$3:$C$1000,1,'선택형 (선택결과)'!$D$3:$D$1000,2))+IF('선택형 (선택지)'!$M$39="",0,SUMIFS('선택형 (선택결과)'!$E$3:$E$1000,'선택형 (선택결과)'!$A$3:$A$1000,'선택형 (선택지)'!$M$39,'선택형 (선택결과)'!$C$3:$C$1000,1,'선택형 (선택결과)'!$D$3:$D$1000,2))+IF('선택형 (선택지)'!$M$40="",0,SUMIFS('선택형 (선택결과)'!$E$3:$E$1000,'선택형 (선택결과)'!$A$3:$A$1000,'선택형 (선택지)'!$M$40,'선택형 (선택결과)'!$C$3:$C$1000,1,'선택형 (선택결과)'!$D$3:$D$1000,2))+IF('선택형 (선택지)'!$M$41="",0,SUMIFS('선택형 (선택결과)'!$E$3:$E$1000,'선택형 (선택결과)'!$A$3:$A$1000,'선택형 (선택지)'!$M$41,'선택형 (선택결과)'!$C$3:$C$1000,1,'선택형 (선택결과)'!$D$3:$D$1000,2))+IF('선택형 (선택지)'!$M$42="",0,SUMIFS('선택형 (선택결과)'!$E$3:$E$1000,'선택형 (선택결과)'!$A$3:$A$1000,'선택형 (선택지)'!$M$42,'선택형 (선택결과)'!$C$3:$C$1000,1,'선택형 (선택결과)'!$D$3:$D$1000,2))</f>
        <v>-3</v>
      </c>
      <c r="H5" s="147">
        <f>SUM(C5:G5)</f>
        <v>45</v>
      </c>
      <c r="I5" s="152"/>
    </row>
    <row r="6" spans="2:9" ht="24" customHeight="1" x14ac:dyDescent="0.3">
      <c r="B6" s="150" t="s">
        <v>699</v>
      </c>
      <c r="C6" s="13">
        <f>0</f>
        <v>0</v>
      </c>
      <c r="D6" s="13">
        <f>SUMIFS('소비형 (결과)'!$D$3:$D$1001,'소비형 (결과)'!$C$3:$C$1001,3)+SUMIFS('소비형 (결과)'!$F$3:$F$1001,'소비형 (결과)'!$E$3:$E$1001,3)</f>
        <v>0</v>
      </c>
      <c r="E6" s="13">
        <f>SUMIFS('보상형 (NPC형)'!$H$3:$H$1001,'보상형 (NPC형)'!$G$3:$G$1001,4)+SUMIFS('보상형 (NPC형)'!$J$3:$J$1001,'보상형 (NPC형)'!$I$3:$I$1001,4)+SUMIFS('보상형 (조건형)'!$N$3:$N$1000,'보상형 (조건형)'!$M$3:$M$1000,4)+SUMIFS('보상형 (조건형)'!$P$3:$P$1000,'보상형 (조건형)'!$O$3:$O$1000,4)</f>
        <v>5</v>
      </c>
      <c r="F6" s="13">
        <f>IF('선택형 (선택지)'!$L$3="",0,SUMIFS('선택형 (선택결과)'!$E$3:$E$1000,'선택형 (선택결과)'!$A$3:$A$1000,'선택형 (선택지)'!$L$3,'선택형 (선택결과)'!$C$3:$C$1000,1,'선택형 (선택결과)'!$D$3:$D$1000,3))+IF('선택형 (선택지)'!$L$4="",0,SUMIFS('선택형 (선택결과)'!$E$3:$E$1000,'선택형 (선택결과)'!$A$3:$A$1000,'선택형 (선택지)'!$L$4,'선택형 (선택결과)'!$C$3:$C$1000,1,'선택형 (선택결과)'!$D$3:$D$1000,3))+IF('선택형 (선택지)'!$L$5="",0,SUMIFS('선택형 (선택결과)'!$E$3:$E$1000,'선택형 (선택결과)'!$A$3:$A$1000,'선택형 (선택지)'!$L$5,'선택형 (선택결과)'!$C$3:$C$1000,1,'선택형 (선택결과)'!$D$3:$D$1000,3))+IF('선택형 (선택지)'!$L$6="",0,SUMIFS('선택형 (선택결과)'!$E$3:$E$1000,'선택형 (선택결과)'!$A$3:$A$1000,'선택형 (선택지)'!$L$6,'선택형 (선택결과)'!$C$3:$C$1000,1,'선택형 (선택결과)'!$D$3:$D$1000,3))+IF('선택형 (선택지)'!$L$7="",0,SUMIFS('선택형 (선택결과)'!$E$3:$E$1000,'선택형 (선택결과)'!$A$3:$A$1000,'선택형 (선택지)'!$L$7,'선택형 (선택결과)'!$C$3:$C$1000,1,'선택형 (선택결과)'!$D$3:$D$1000,3))+IF('선택형 (선택지)'!$L$8="",0,SUMIFS('선택형 (선택결과)'!$E$3:$E$1000,'선택형 (선택결과)'!$A$3:$A$1000,'선택형 (선택지)'!$L$8,'선택형 (선택결과)'!$C$3:$C$1000,1,'선택형 (선택결과)'!$D$3:$D$1000,3))+IF('선택형 (선택지)'!$L$9="",0,SUMIFS('선택형 (선택결과)'!$E$3:$E$1000,'선택형 (선택결과)'!$A$3:$A$1000,'선택형 (선택지)'!$L$9,'선택형 (선택결과)'!$C$3:$C$1000,1,'선택형 (선택결과)'!$D$3:$D$1000,3))+IF('선택형 (선택지)'!$L$10="",0,SUMIFS('선택형 (선택결과)'!$E$3:$E$1000,'선택형 (선택결과)'!$A$3:$A$1000,'선택형 (선택지)'!$L$10,'선택형 (선택결과)'!$C$3:$C$1000,1,'선택형 (선택결과)'!$D$3:$D$1000,3))+IF('선택형 (선택지)'!$L$11="",0,SUMIFS('선택형 (선택결과)'!$E$3:$E$1000,'선택형 (선택결과)'!$A$3:$A$1000,'선택형 (선택지)'!$L$11,'선택형 (선택결과)'!$C$3:$C$1000,1,'선택형 (선택결과)'!$D$3:$D$1000,3))+IF('선택형 (선택지)'!$L$12="",0,SUMIFS('선택형 (선택결과)'!$E$3:$E$1000,'선택형 (선택결과)'!$A$3:$A$1000,'선택형 (선택지)'!$L$12,'선택형 (선택결과)'!$C$3:$C$1000,1,'선택형 (선택결과)'!$D$3:$D$1000,3))+IF('선택형 (선택지)'!$L$13="",0,SUMIFS('선택형 (선택결과)'!$E$3:$E$1000,'선택형 (선택결과)'!$A$3:$A$1000,'선택형 (선택지)'!$L$13,'선택형 (선택결과)'!$C$3:$C$1000,1,'선택형 (선택결과)'!$D$3:$D$1000,3))+IF('선택형 (선택지)'!$L$14="",0,SUMIFS('선택형 (선택결과)'!$E$3:$E$1000,'선택형 (선택결과)'!$A$3:$A$1000,'선택형 (선택지)'!$L$14,'선택형 (선택결과)'!$C$3:$C$1000,1,'선택형 (선택결과)'!$D$3:$D$1000,3))+IF('선택형 (선택지)'!$L$15="",0,SUMIFS('선택형 (선택결과)'!$E$3:$E$1000,'선택형 (선택결과)'!$A$3:$A$1000,'선택형 (선택지)'!$L$15,'선택형 (선택결과)'!$C$3:$C$1000,1,'선택형 (선택결과)'!$D$3:$D$1000,3))+IF('선택형 (선택지)'!$L$16="",0,SUMIFS('선택형 (선택결과)'!$E$3:$E$1000,'선택형 (선택결과)'!$A$3:$A$1000,'선택형 (선택지)'!$L$16,'선택형 (선택결과)'!$C$3:$C$1000,1,'선택형 (선택결과)'!$D$3:$D$1000,3))+IF('선택형 (선택지)'!$L$17="",0,SUMIFS('선택형 (선택결과)'!$E$3:$E$1000,'선택형 (선택결과)'!$A$3:$A$1000,'선택형 (선택지)'!$L$17,'선택형 (선택결과)'!$C$3:$C$1000,1,'선택형 (선택결과)'!$D$3:$D$1000,3))+IF('선택형 (선택지)'!$L$18="",0,SUMIFS('선택형 (선택결과)'!$E$3:$E$1000,'선택형 (선택결과)'!$A$3:$A$1000,'선택형 (선택지)'!$L$18,'선택형 (선택결과)'!$C$3:$C$1000,1,'선택형 (선택결과)'!$D$3:$D$1000,3))+IF('선택형 (선택지)'!$L$19="",0,SUMIFS('선택형 (선택결과)'!$E$3:$E$1000,'선택형 (선택결과)'!$A$3:$A$1000,'선택형 (선택지)'!$L$19,'선택형 (선택결과)'!$C$3:$C$1000,1,'선택형 (선택결과)'!$D$3:$D$1000,3))+IF('선택형 (선택지)'!$L$20="",0,SUMIFS('선택형 (선택결과)'!$E$3:$E$1000,'선택형 (선택결과)'!$A$3:$A$1000,'선택형 (선택지)'!$L$20,'선택형 (선택결과)'!$C$3:$C$1000,1,'선택형 (선택결과)'!$D$3:$D$1000,3))+IF('선택형 (선택지)'!$L$21="",0,SUMIFS('선택형 (선택결과)'!$E$3:$E$1000,'선택형 (선택결과)'!$A$3:$A$1000,'선택형 (선택지)'!$L$21,'선택형 (선택결과)'!$C$3:$C$1000,1,'선택형 (선택결과)'!$D$3:$D$1000,3))+IF('선택형 (선택지)'!$L$22="",0,SUMIFS('선택형 (선택결과)'!$E$3:$E$1000,'선택형 (선택결과)'!$A$3:$A$1000,'선택형 (선택지)'!$L$22,'선택형 (선택결과)'!$C$3:$C$1000,1,'선택형 (선택결과)'!$D$3:$D$1000,3))+IF('선택형 (선택지)'!$L$23="",0,SUMIFS('선택형 (선택결과)'!$E$3:$E$1000,'선택형 (선택결과)'!$A$3:$A$1000,'선택형 (선택지)'!$L$23,'선택형 (선택결과)'!$C$3:$C$1000,1,'선택형 (선택결과)'!$D$3:$D$1000,3))+IF('선택형 (선택지)'!$L$24="",0,SUMIFS('선택형 (선택결과)'!$E$3:$E$1000,'선택형 (선택결과)'!$A$3:$A$1000,'선택형 (선택지)'!$L$24,'선택형 (선택결과)'!$C$3:$C$1000,1,'선택형 (선택결과)'!$D$3:$D$1000,3))+IF('선택형 (선택지)'!$L$25="",0,SUMIFS('선택형 (선택결과)'!$E$3:$E$1000,'선택형 (선택결과)'!$A$3:$A$1000,'선택형 (선택지)'!$L$25,'선택형 (선택결과)'!$C$3:$C$1000,1,'선택형 (선택결과)'!$D$3:$D$1000,3))+IF('선택형 (선택지)'!$L$26="",0,SUMIFS('선택형 (선택결과)'!$E$3:$E$1000,'선택형 (선택결과)'!$A$3:$A$1000,'선택형 (선택지)'!$L$26,'선택형 (선택결과)'!$C$3:$C$1000,1,'선택형 (선택결과)'!$D$3:$D$1000,3))+IF('선택형 (선택지)'!$L$27="",0,SUMIFS('선택형 (선택결과)'!$E$3:$E$1000,'선택형 (선택결과)'!$A$3:$A$1000,'선택형 (선택지)'!$L$27,'선택형 (선택결과)'!$C$3:$C$1000,1,'선택형 (선택결과)'!$D$3:$D$1000,3))+IF('선택형 (선택지)'!$L$28="",0,SUMIFS('선택형 (선택결과)'!$E$3:$E$1000,'선택형 (선택결과)'!$A$3:$A$1000,'선택형 (선택지)'!$L$28,'선택형 (선택결과)'!$C$3:$C$1000,1,'선택형 (선택결과)'!$D$3:$D$1000,3))+IF('선택형 (선택지)'!$L$29="",0,SUMIFS('선택형 (선택결과)'!$E$3:$E$1000,'선택형 (선택결과)'!$A$3:$A$1000,'선택형 (선택지)'!$L$29,'선택형 (선택결과)'!$C$3:$C$1000,1,'선택형 (선택결과)'!$D$3:$D$1000,3))+IF('선택형 (선택지)'!$L$30="",0,SUMIFS('선택형 (선택결과)'!$E$3:$E$1000,'선택형 (선택결과)'!$A$3:$A$1000,'선택형 (선택지)'!$L$30,'선택형 (선택결과)'!$C$3:$C$1000,1,'선택형 (선택결과)'!$D$3:$D$1000,3))+IF('선택형 (선택지)'!$L$31="",0,SUMIFS('선택형 (선택결과)'!$E$3:$E$1000,'선택형 (선택결과)'!$A$3:$A$1000,'선택형 (선택지)'!$L$31,'선택형 (선택결과)'!$C$3:$C$1000,1,'선택형 (선택결과)'!$D$3:$D$1000,3))+IF('선택형 (선택지)'!$L$32="",0,SUMIFS('선택형 (선택결과)'!$E$3:$E$1000,'선택형 (선택결과)'!$A$3:$A$1000,'선택형 (선택지)'!$L$32,'선택형 (선택결과)'!$C$3:$C$1000,1,'선택형 (선택결과)'!$D$3:$D$1000,3))+IF('선택형 (선택지)'!$L$33="",0,SUMIFS('선택형 (선택결과)'!$E$3:$E$1000,'선택형 (선택결과)'!$A$3:$A$1000,'선택형 (선택지)'!$L$33,'선택형 (선택결과)'!$C$3:$C$1000,1,'선택형 (선택결과)'!$D$3:$D$1000,3))+IF('선택형 (선택지)'!$L$34="",0,SUMIFS('선택형 (선택결과)'!$E$3:$E$1000,'선택형 (선택결과)'!$A$3:$A$1000,'선택형 (선택지)'!$L$34,'선택형 (선택결과)'!$C$3:$C$1000,1,'선택형 (선택결과)'!$D$3:$D$1000,3))+IF('선택형 (선택지)'!$L$35="",0,SUMIFS('선택형 (선택결과)'!$E$3:$E$1000,'선택형 (선택결과)'!$A$3:$A$1000,'선택형 (선택지)'!$L$35,'선택형 (선택결과)'!$C$3:$C$1000,1,'선택형 (선택결과)'!$D$3:$D$1000,3))+IF('선택형 (선택지)'!$L$36="",0,SUMIFS('선택형 (선택결과)'!$E$3:$E$1000,'선택형 (선택결과)'!$A$3:$A$1000,'선택형 (선택지)'!$L$36,'선택형 (선택결과)'!$C$3:$C$1000,1,'선택형 (선택결과)'!$D$3:$D$1000,3))+IF('선택형 (선택지)'!$L$37="",0,SUMIFS('선택형 (선택결과)'!$E$3:$E$1000,'선택형 (선택결과)'!$A$3:$A$1000,'선택형 (선택지)'!$L$37,'선택형 (선택결과)'!$C$3:$C$1000,1,'선택형 (선택결과)'!$D$3:$D$1000,3))+IF('선택형 (선택지)'!$L$38="",0,SUMIFS('선택형 (선택결과)'!$E$3:$E$1000,'선택형 (선택결과)'!$A$3:$A$1000,'선택형 (선택지)'!$L$38,'선택형 (선택결과)'!$C$3:$C$1000,1,'선택형 (선택결과)'!$D$3:$D$1000,3))+IF('선택형 (선택지)'!$L$39="",0,SUMIFS('선택형 (선택결과)'!$E$3:$E$1000,'선택형 (선택결과)'!$A$3:$A$1000,'선택형 (선택지)'!$L$39,'선택형 (선택결과)'!$C$3:$C$1000,1,'선택형 (선택결과)'!$D$3:$D$1000,3))+IF('선택형 (선택지)'!$L$40="",0,SUMIFS('선택형 (선택결과)'!$E$3:$E$1000,'선택형 (선택결과)'!$A$3:$A$1000,'선택형 (선택지)'!$L$40,'선택형 (선택결과)'!$C$3:$C$1000,1,'선택형 (선택결과)'!$D$3:$D$1000,3))+IF('선택형 (선택지)'!$L$41="",0,SUMIFS('선택형 (선택결과)'!$E$3:$E$1000,'선택형 (선택결과)'!$A$3:$A$1000,'선택형 (선택지)'!$L$41,'선택형 (선택결과)'!$C$3:$C$1000,1,'선택형 (선택결과)'!$D$3:$D$1000,3))+IF('선택형 (선택지)'!$L$42="",0,SUMIFS('선택형 (선택결과)'!$E$3:$E$1000,'선택형 (선택결과)'!$A$3:$A$1000,'선택형 (선택지)'!$L$42,'선택형 (선택결과)'!$C$3:$C$1000,1,'선택형 (선택결과)'!$D$3:$D$1000,3))</f>
        <v>8</v>
      </c>
      <c r="G6" s="13">
        <f>IF('선택형 (선택지)'!$M$3="",0,SUMIFS('선택형 (선택결과)'!$E$3:$E$1000,'선택형 (선택결과)'!$A$3:$A$1000,'선택형 (선택지)'!$M$3,'선택형 (선택결과)'!$C$3:$C$1000,1,'선택형 (선택결과)'!$D$3:$D$1000,3))+IF('선택형 (선택지)'!$M$4="",0,SUMIFS('선택형 (선택결과)'!$E$3:$E$1000,'선택형 (선택결과)'!$A$3:$A$1000,'선택형 (선택지)'!$M$4,'선택형 (선택결과)'!$C$3:$C$1000,1,'선택형 (선택결과)'!$D$3:$D$1000,3))+IF('선택형 (선택지)'!$M$5="",0,SUMIFS('선택형 (선택결과)'!$E$3:$E$1000,'선택형 (선택결과)'!$A$3:$A$1000,'선택형 (선택지)'!$M$5,'선택형 (선택결과)'!$C$3:$C$1000,1,'선택형 (선택결과)'!$D$3:$D$1000,3))+IF('선택형 (선택지)'!$M$6="",0,SUMIFS('선택형 (선택결과)'!$E$3:$E$1000,'선택형 (선택결과)'!$A$3:$A$1000,'선택형 (선택지)'!$M$6,'선택형 (선택결과)'!$C$3:$C$1000,1,'선택형 (선택결과)'!$D$3:$D$1000,3))+IF('선택형 (선택지)'!$M$7="",0,SUMIFS('선택형 (선택결과)'!$E$3:$E$1000,'선택형 (선택결과)'!$A$3:$A$1000,'선택형 (선택지)'!$M$7,'선택형 (선택결과)'!$C$3:$C$1000,1,'선택형 (선택결과)'!$D$3:$D$1000,3))+IF('선택형 (선택지)'!$M$8="",0,SUMIFS('선택형 (선택결과)'!$E$3:$E$1000,'선택형 (선택결과)'!$A$3:$A$1000,'선택형 (선택지)'!$M$8,'선택형 (선택결과)'!$C$3:$C$1000,1,'선택형 (선택결과)'!$D$3:$D$1000,3))+IF('선택형 (선택지)'!$M$9="",0,SUMIFS('선택형 (선택결과)'!$E$3:$E$1000,'선택형 (선택결과)'!$A$3:$A$1000,'선택형 (선택지)'!$M$9,'선택형 (선택결과)'!$C$3:$C$1000,1,'선택형 (선택결과)'!$D$3:$D$1000,3))+IF('선택형 (선택지)'!$M$10="",0,SUMIFS('선택형 (선택결과)'!$E$3:$E$1000,'선택형 (선택결과)'!$A$3:$A$1000,'선택형 (선택지)'!$M$10,'선택형 (선택결과)'!$C$3:$C$1000,1,'선택형 (선택결과)'!$D$3:$D$1000,3))+IF('선택형 (선택지)'!$M$11="",0,SUMIFS('선택형 (선택결과)'!$E$3:$E$1000,'선택형 (선택결과)'!$A$3:$A$1000,'선택형 (선택지)'!$M$11,'선택형 (선택결과)'!$C$3:$C$1000,1,'선택형 (선택결과)'!$D$3:$D$1000,3))+IF('선택형 (선택지)'!$M$12="",0,SUMIFS('선택형 (선택결과)'!$E$3:$E$1000,'선택형 (선택결과)'!$A$3:$A$1000,'선택형 (선택지)'!$M$12,'선택형 (선택결과)'!$C$3:$C$1000,1,'선택형 (선택결과)'!$D$3:$D$1000,3))+IF('선택형 (선택지)'!$M$13="",0,SUMIFS('선택형 (선택결과)'!$E$3:$E$1000,'선택형 (선택결과)'!$A$3:$A$1000,'선택형 (선택지)'!$M$13,'선택형 (선택결과)'!$C$3:$C$1000,1,'선택형 (선택결과)'!$D$3:$D$1000,3))+IF('선택형 (선택지)'!$M$14="",0,SUMIFS('선택형 (선택결과)'!$E$3:$E$1000,'선택형 (선택결과)'!$A$3:$A$1000,'선택형 (선택지)'!$M$14,'선택형 (선택결과)'!$C$3:$C$1000,1,'선택형 (선택결과)'!$D$3:$D$1000,3))+IF('선택형 (선택지)'!$M$15="",0,SUMIFS('선택형 (선택결과)'!$E$3:$E$1000,'선택형 (선택결과)'!$A$3:$A$1000,'선택형 (선택지)'!$M$15,'선택형 (선택결과)'!$C$3:$C$1000,1,'선택형 (선택결과)'!$D$3:$D$1000,3))+IF('선택형 (선택지)'!$M$16="",0,SUMIFS('선택형 (선택결과)'!$E$3:$E$1000,'선택형 (선택결과)'!$A$3:$A$1000,'선택형 (선택지)'!$M$16,'선택형 (선택결과)'!$C$3:$C$1000,1,'선택형 (선택결과)'!$D$3:$D$1000,3))+IF('선택형 (선택지)'!$M$17="",0,SUMIFS('선택형 (선택결과)'!$E$3:$E$1000,'선택형 (선택결과)'!$A$3:$A$1000,'선택형 (선택지)'!$M$17,'선택형 (선택결과)'!$C$3:$C$1000,1,'선택형 (선택결과)'!$D$3:$D$1000,3))+IF('선택형 (선택지)'!$M$18="",0,SUMIFS('선택형 (선택결과)'!$E$3:$E$1000,'선택형 (선택결과)'!$A$3:$A$1000,'선택형 (선택지)'!$M$18,'선택형 (선택결과)'!$C$3:$C$1000,1,'선택형 (선택결과)'!$D$3:$D$1000,3))+IF('선택형 (선택지)'!$M$19="",0,SUMIFS('선택형 (선택결과)'!$E$3:$E$1000,'선택형 (선택결과)'!$A$3:$A$1000,'선택형 (선택지)'!$M$19,'선택형 (선택결과)'!$C$3:$C$1000,1,'선택형 (선택결과)'!$D$3:$D$1000,3))+IF('선택형 (선택지)'!$M$20="",0,SUMIFS('선택형 (선택결과)'!$E$3:$E$1000,'선택형 (선택결과)'!$A$3:$A$1000,'선택형 (선택지)'!$M$20,'선택형 (선택결과)'!$C$3:$C$1000,1,'선택형 (선택결과)'!$D$3:$D$1000,3))+IF('선택형 (선택지)'!$M$21="",0,SUMIFS('선택형 (선택결과)'!$E$3:$E$1000,'선택형 (선택결과)'!$A$3:$A$1000,'선택형 (선택지)'!$M$21,'선택형 (선택결과)'!$C$3:$C$1000,1,'선택형 (선택결과)'!$D$3:$D$1000,3))+IF('선택형 (선택지)'!$M$22="",0,SUMIFS('선택형 (선택결과)'!$E$3:$E$1000,'선택형 (선택결과)'!$A$3:$A$1000,'선택형 (선택지)'!$M$22,'선택형 (선택결과)'!$C$3:$C$1000,1,'선택형 (선택결과)'!$D$3:$D$1000,3))+IF('선택형 (선택지)'!$M$23="",0,SUMIFS('선택형 (선택결과)'!$E$3:$E$1000,'선택형 (선택결과)'!$A$3:$A$1000,'선택형 (선택지)'!$M$23,'선택형 (선택결과)'!$C$3:$C$1000,1,'선택형 (선택결과)'!$D$3:$D$1000,3))+IF('선택형 (선택지)'!$M$24="",0,SUMIFS('선택형 (선택결과)'!$E$3:$E$1000,'선택형 (선택결과)'!$A$3:$A$1000,'선택형 (선택지)'!$M$24,'선택형 (선택결과)'!$C$3:$C$1000,1,'선택형 (선택결과)'!$D$3:$D$1000,3))+IF('선택형 (선택지)'!$M$25="",0,SUMIFS('선택형 (선택결과)'!$E$3:$E$1000,'선택형 (선택결과)'!$A$3:$A$1000,'선택형 (선택지)'!$M$25,'선택형 (선택결과)'!$C$3:$C$1000,1,'선택형 (선택결과)'!$D$3:$D$1000,3))+IF('선택형 (선택지)'!$M$26="",0,SUMIFS('선택형 (선택결과)'!$E$3:$E$1000,'선택형 (선택결과)'!$A$3:$A$1000,'선택형 (선택지)'!$M$26,'선택형 (선택결과)'!$C$3:$C$1000,1,'선택형 (선택결과)'!$D$3:$D$1000,3))+IF('선택형 (선택지)'!$M$27="",0,SUMIFS('선택형 (선택결과)'!$E$3:$E$1000,'선택형 (선택결과)'!$A$3:$A$1000,'선택형 (선택지)'!$M$27,'선택형 (선택결과)'!$C$3:$C$1000,1,'선택형 (선택결과)'!$D$3:$D$1000,3))+IF('선택형 (선택지)'!$M$28="",0,SUMIFS('선택형 (선택결과)'!$E$3:$E$1000,'선택형 (선택결과)'!$A$3:$A$1000,'선택형 (선택지)'!$M$28,'선택형 (선택결과)'!$C$3:$C$1000,1,'선택형 (선택결과)'!$D$3:$D$1000,3))+IF('선택형 (선택지)'!$M$29="",0,SUMIFS('선택형 (선택결과)'!$E$3:$E$1000,'선택형 (선택결과)'!$A$3:$A$1000,'선택형 (선택지)'!$M$29,'선택형 (선택결과)'!$C$3:$C$1000,1,'선택형 (선택결과)'!$D$3:$D$1000,3))+IF('선택형 (선택지)'!$M$30="",0,SUMIFS('선택형 (선택결과)'!$E$3:$E$1000,'선택형 (선택결과)'!$A$3:$A$1000,'선택형 (선택지)'!$M$30,'선택형 (선택결과)'!$C$3:$C$1000,1,'선택형 (선택결과)'!$D$3:$D$1000,3))+IF('선택형 (선택지)'!$M$31="",0,SUMIFS('선택형 (선택결과)'!$E$3:$E$1000,'선택형 (선택결과)'!$A$3:$A$1000,'선택형 (선택지)'!$M$31,'선택형 (선택결과)'!$C$3:$C$1000,1,'선택형 (선택결과)'!$D$3:$D$1000,3))+IF('선택형 (선택지)'!$M$32="",0,SUMIFS('선택형 (선택결과)'!$E$3:$E$1000,'선택형 (선택결과)'!$A$3:$A$1000,'선택형 (선택지)'!$M$32,'선택형 (선택결과)'!$C$3:$C$1000,1,'선택형 (선택결과)'!$D$3:$D$1000,3))+IF('선택형 (선택지)'!$M$33="",0,SUMIFS('선택형 (선택결과)'!$E$3:$E$1000,'선택형 (선택결과)'!$A$3:$A$1000,'선택형 (선택지)'!$M$33,'선택형 (선택결과)'!$C$3:$C$1000,1,'선택형 (선택결과)'!$D$3:$D$1000,3))+IF('선택형 (선택지)'!$M$34="",0,SUMIFS('선택형 (선택결과)'!$E$3:$E$1000,'선택형 (선택결과)'!$A$3:$A$1000,'선택형 (선택지)'!$M$34,'선택형 (선택결과)'!$C$3:$C$1000,1,'선택형 (선택결과)'!$D$3:$D$1000,3))+IF('선택형 (선택지)'!$M$35="",0,SUMIFS('선택형 (선택결과)'!$E$3:$E$1000,'선택형 (선택결과)'!$A$3:$A$1000,'선택형 (선택지)'!$M$35,'선택형 (선택결과)'!$C$3:$C$1000,1,'선택형 (선택결과)'!$D$3:$D$1000,3))+IF('선택형 (선택지)'!$M$36="",0,SUMIFS('선택형 (선택결과)'!$E$3:$E$1000,'선택형 (선택결과)'!$A$3:$A$1000,'선택형 (선택지)'!$M$36,'선택형 (선택결과)'!$C$3:$C$1000,1,'선택형 (선택결과)'!$D$3:$D$1000,3))+IF('선택형 (선택지)'!$M$37="",0,SUMIFS('선택형 (선택결과)'!$E$3:$E$1000,'선택형 (선택결과)'!$A$3:$A$1000,'선택형 (선택지)'!$M$37,'선택형 (선택결과)'!$C$3:$C$1000,1,'선택형 (선택결과)'!$D$3:$D$1000,3))+IF('선택형 (선택지)'!$M$38="",0,SUMIFS('선택형 (선택결과)'!$E$3:$E$1000,'선택형 (선택결과)'!$A$3:$A$1000,'선택형 (선택지)'!$M$38,'선택형 (선택결과)'!$C$3:$C$1000,1,'선택형 (선택결과)'!$D$3:$D$1000,3))+IF('선택형 (선택지)'!$M$39="",0,SUMIFS('선택형 (선택결과)'!$E$3:$E$1000,'선택형 (선택결과)'!$A$3:$A$1000,'선택형 (선택지)'!$M$39,'선택형 (선택결과)'!$C$3:$C$1000,1,'선택형 (선택결과)'!$D$3:$D$1000,3))+IF('선택형 (선택지)'!$M$40="",0,SUMIFS('선택형 (선택결과)'!$E$3:$E$1000,'선택형 (선택결과)'!$A$3:$A$1000,'선택형 (선택지)'!$M$40,'선택형 (선택결과)'!$C$3:$C$1000,1,'선택형 (선택결과)'!$D$3:$D$1000,3))+IF('선택형 (선택지)'!$M$41="",0,SUMIFS('선택형 (선택결과)'!$E$3:$E$1000,'선택형 (선택결과)'!$A$3:$A$1000,'선택형 (선택지)'!$M$41,'선택형 (선택결과)'!$C$3:$C$1000,1,'선택형 (선택결과)'!$D$3:$D$1000,3))+IF('선택형 (선택지)'!$M$42="",0,SUMIFS('선택형 (선택결과)'!$E$3:$E$1000,'선택형 (선택결과)'!$A$3:$A$1000,'선택형 (선택지)'!$M$42,'선택형 (선택결과)'!$C$3:$C$1000,1,'선택형 (선택결과)'!$D$3:$D$1000,3))</f>
        <v>0</v>
      </c>
      <c r="H6" s="147">
        <f>SUM(C6:G6)</f>
        <v>13</v>
      </c>
      <c r="I6" s="152"/>
    </row>
    <row r="7" spans="2:9" ht="24" customHeight="1" x14ac:dyDescent="0.3">
      <c r="B7" s="150" t="s">
        <v>700</v>
      </c>
      <c r="C7" s="13">
        <f>SUMIFS('소비형 (결과)'!$H$3:$H$1001,'소비형 (결과)'!$G$3:$G$1001,0,'소비형 (결과)'!$H$3:$H$1001,"&gt;0")+SUMIFS('소비형 (결과)'!$J$3:$J$1001,'소비형 (결과)'!$I$3:$I$1001,0,'소비형 (결과)'!$J$3:$J$1001,"&gt;0")</f>
        <v>28</v>
      </c>
      <c r="D7" s="13">
        <f>-SUMIFS('소비형 (결과)'!$H$3:$H$1001,'소비형 (결과)'!$G$3:$G$1001,0,'소비형 (결과)'!$H$3:$H$1001,"&lt;0")-SUMIFS('소비형 (결과)'!$J$3:$J$1001,'소비형 (결과)'!$I$3:$I$1001,0,'소비형 (결과)'!$J$3:$J$1001,"&lt;0")</f>
        <v>0</v>
      </c>
      <c r="E7" s="13">
        <f>SUMIFS('보상형 (NPC형)'!$H$3:$H$1001,'보상형 (NPC형)'!$G$3:$G$1001,0)+SUMIFS('보상형 (NPC형)'!$J$3:$J$1001,'보상형 (NPC형)'!$I$3:$I$1001,0)+SUMIFS('보상형 (조건형)'!$N$3:$N$1000,'보상형 (조건형)'!$M$3:$M$1000,0)+SUMIFS('보상형 (조건형)'!$P$3:$P$1000,'보상형 (조건형)'!$O$3:$O$1000,0)</f>
        <v>16</v>
      </c>
      <c r="F7" s="13">
        <f>IF('선택형 (선택지)'!$L$3="",0,SUMIFS('선택형 (선택결과)'!$E$3:$E$1000,'선택형 (선택결과)'!$A$3:$A$1000,'선택형 (선택지)'!$L$3,'선택형 (선택결과)'!$C$3:$C$1000,2,'선택형 (선택결과)'!$D$3:$D$1000,0))+IF('선택형 (선택지)'!$L$4="",0,SUMIFS('선택형 (선택결과)'!$E$3:$E$1000,'선택형 (선택결과)'!$A$3:$A$1000,'선택형 (선택지)'!$L$4,'선택형 (선택결과)'!$C$3:$C$1000,2,'선택형 (선택결과)'!$D$3:$D$1000,0))+IF('선택형 (선택지)'!$L$5="",0,SUMIFS('선택형 (선택결과)'!$E$3:$E$1000,'선택형 (선택결과)'!$A$3:$A$1000,'선택형 (선택지)'!$L$5,'선택형 (선택결과)'!$C$3:$C$1000,2,'선택형 (선택결과)'!$D$3:$D$1000,0))+IF('선택형 (선택지)'!$L$6="",0,SUMIFS('선택형 (선택결과)'!$E$3:$E$1000,'선택형 (선택결과)'!$A$3:$A$1000,'선택형 (선택지)'!$L$6,'선택형 (선택결과)'!$C$3:$C$1000,2,'선택형 (선택결과)'!$D$3:$D$1000,0))+IF('선택형 (선택지)'!$L$7="",0,SUMIFS('선택형 (선택결과)'!$E$3:$E$1000,'선택형 (선택결과)'!$A$3:$A$1000,'선택형 (선택지)'!$L$7,'선택형 (선택결과)'!$C$3:$C$1000,2,'선택형 (선택결과)'!$D$3:$D$1000,0))+IF('선택형 (선택지)'!$L$8="",0,SUMIFS('선택형 (선택결과)'!$E$3:$E$1000,'선택형 (선택결과)'!$A$3:$A$1000,'선택형 (선택지)'!$L$8,'선택형 (선택결과)'!$C$3:$C$1000,2,'선택형 (선택결과)'!$D$3:$D$1000,0))+IF('선택형 (선택지)'!$L$9="",0,SUMIFS('선택형 (선택결과)'!$E$3:$E$1000,'선택형 (선택결과)'!$A$3:$A$1000,'선택형 (선택지)'!$L$9,'선택형 (선택결과)'!$C$3:$C$1000,2,'선택형 (선택결과)'!$D$3:$D$1000,0))+IF('선택형 (선택지)'!$L$10="",0,SUMIFS('선택형 (선택결과)'!$E$3:$E$1000,'선택형 (선택결과)'!$A$3:$A$1000,'선택형 (선택지)'!$L$10,'선택형 (선택결과)'!$C$3:$C$1000,2,'선택형 (선택결과)'!$D$3:$D$1000,0))+IF('선택형 (선택지)'!$L$11="",0,SUMIFS('선택형 (선택결과)'!$E$3:$E$1000,'선택형 (선택결과)'!$A$3:$A$1000,'선택형 (선택지)'!$L$11,'선택형 (선택결과)'!$C$3:$C$1000,2,'선택형 (선택결과)'!$D$3:$D$1000,0))+IF('선택형 (선택지)'!$L$12="",0,SUMIFS('선택형 (선택결과)'!$E$3:$E$1000,'선택형 (선택결과)'!$A$3:$A$1000,'선택형 (선택지)'!$L$12,'선택형 (선택결과)'!$C$3:$C$1000,2,'선택형 (선택결과)'!$D$3:$D$1000,0))+IF('선택형 (선택지)'!$L$13="",0,SUMIFS('선택형 (선택결과)'!$E$3:$E$1000,'선택형 (선택결과)'!$A$3:$A$1000,'선택형 (선택지)'!$L$13,'선택형 (선택결과)'!$C$3:$C$1000,2,'선택형 (선택결과)'!$D$3:$D$1000,0))+IF('선택형 (선택지)'!$L$14="",0,SUMIFS('선택형 (선택결과)'!$E$3:$E$1000,'선택형 (선택결과)'!$A$3:$A$1000,'선택형 (선택지)'!$L$14,'선택형 (선택결과)'!$C$3:$C$1000,2,'선택형 (선택결과)'!$D$3:$D$1000,0))+IF('선택형 (선택지)'!$L$15="",0,SUMIFS('선택형 (선택결과)'!$E$3:$E$1000,'선택형 (선택결과)'!$A$3:$A$1000,'선택형 (선택지)'!$L$15,'선택형 (선택결과)'!$C$3:$C$1000,2,'선택형 (선택결과)'!$D$3:$D$1000,0))+IF('선택형 (선택지)'!$L$16="",0,SUMIFS('선택형 (선택결과)'!$E$3:$E$1000,'선택형 (선택결과)'!$A$3:$A$1000,'선택형 (선택지)'!$L$16,'선택형 (선택결과)'!$C$3:$C$1000,2,'선택형 (선택결과)'!$D$3:$D$1000,0))+IF('선택형 (선택지)'!$L$17="",0,SUMIFS('선택형 (선택결과)'!$E$3:$E$1000,'선택형 (선택결과)'!$A$3:$A$1000,'선택형 (선택지)'!$L$17,'선택형 (선택결과)'!$C$3:$C$1000,2,'선택형 (선택결과)'!$D$3:$D$1000,0))+IF('선택형 (선택지)'!$L$18="",0,SUMIFS('선택형 (선택결과)'!$E$3:$E$1000,'선택형 (선택결과)'!$A$3:$A$1000,'선택형 (선택지)'!$L$18,'선택형 (선택결과)'!$C$3:$C$1000,2,'선택형 (선택결과)'!$D$3:$D$1000,0))+IF('선택형 (선택지)'!$L$19="",0,SUMIFS('선택형 (선택결과)'!$E$3:$E$1000,'선택형 (선택결과)'!$A$3:$A$1000,'선택형 (선택지)'!$L$19,'선택형 (선택결과)'!$C$3:$C$1000,2,'선택형 (선택결과)'!$D$3:$D$1000,0))+IF('선택형 (선택지)'!$L$20="",0,SUMIFS('선택형 (선택결과)'!$E$3:$E$1000,'선택형 (선택결과)'!$A$3:$A$1000,'선택형 (선택지)'!$L$20,'선택형 (선택결과)'!$C$3:$C$1000,2,'선택형 (선택결과)'!$D$3:$D$1000,0))+IF('선택형 (선택지)'!$L$21="",0,SUMIFS('선택형 (선택결과)'!$E$3:$E$1000,'선택형 (선택결과)'!$A$3:$A$1000,'선택형 (선택지)'!$L$21,'선택형 (선택결과)'!$C$3:$C$1000,2,'선택형 (선택결과)'!$D$3:$D$1000,0))+IF('선택형 (선택지)'!$L$22="",0,SUMIFS('선택형 (선택결과)'!$E$3:$E$1000,'선택형 (선택결과)'!$A$3:$A$1000,'선택형 (선택지)'!$L$22,'선택형 (선택결과)'!$C$3:$C$1000,2,'선택형 (선택결과)'!$D$3:$D$1000,0))+IF('선택형 (선택지)'!$L$23="",0,SUMIFS('선택형 (선택결과)'!$E$3:$E$1000,'선택형 (선택결과)'!$A$3:$A$1000,'선택형 (선택지)'!$L$23,'선택형 (선택결과)'!$C$3:$C$1000,2,'선택형 (선택결과)'!$D$3:$D$1000,0))+IF('선택형 (선택지)'!$L$24="",0,SUMIFS('선택형 (선택결과)'!$E$3:$E$1000,'선택형 (선택결과)'!$A$3:$A$1000,'선택형 (선택지)'!$L$24,'선택형 (선택결과)'!$C$3:$C$1000,2,'선택형 (선택결과)'!$D$3:$D$1000,0))+IF('선택형 (선택지)'!$L$25="",0,SUMIFS('선택형 (선택결과)'!$E$3:$E$1000,'선택형 (선택결과)'!$A$3:$A$1000,'선택형 (선택지)'!$L$25,'선택형 (선택결과)'!$C$3:$C$1000,2,'선택형 (선택결과)'!$D$3:$D$1000,0))+IF('선택형 (선택지)'!$L$26="",0,SUMIFS('선택형 (선택결과)'!$E$3:$E$1000,'선택형 (선택결과)'!$A$3:$A$1000,'선택형 (선택지)'!$L$26,'선택형 (선택결과)'!$C$3:$C$1000,2,'선택형 (선택결과)'!$D$3:$D$1000,0))+IF('선택형 (선택지)'!$L$27="",0,SUMIFS('선택형 (선택결과)'!$E$3:$E$1000,'선택형 (선택결과)'!$A$3:$A$1000,'선택형 (선택지)'!$L$27,'선택형 (선택결과)'!$C$3:$C$1000,2,'선택형 (선택결과)'!$D$3:$D$1000,0))+IF('선택형 (선택지)'!$L$28="",0,SUMIFS('선택형 (선택결과)'!$E$3:$E$1000,'선택형 (선택결과)'!$A$3:$A$1000,'선택형 (선택지)'!$L$28,'선택형 (선택결과)'!$C$3:$C$1000,2,'선택형 (선택결과)'!$D$3:$D$1000,0))+IF('선택형 (선택지)'!$L$29="",0,SUMIFS('선택형 (선택결과)'!$E$3:$E$1000,'선택형 (선택결과)'!$A$3:$A$1000,'선택형 (선택지)'!$L$29,'선택형 (선택결과)'!$C$3:$C$1000,2,'선택형 (선택결과)'!$D$3:$D$1000,0))+IF('선택형 (선택지)'!$L$30="",0,SUMIFS('선택형 (선택결과)'!$E$3:$E$1000,'선택형 (선택결과)'!$A$3:$A$1000,'선택형 (선택지)'!$L$30,'선택형 (선택결과)'!$C$3:$C$1000,2,'선택형 (선택결과)'!$D$3:$D$1000,0))+IF('선택형 (선택지)'!$L$31="",0,SUMIFS('선택형 (선택결과)'!$E$3:$E$1000,'선택형 (선택결과)'!$A$3:$A$1000,'선택형 (선택지)'!$L$31,'선택형 (선택결과)'!$C$3:$C$1000,2,'선택형 (선택결과)'!$D$3:$D$1000,0))+IF('선택형 (선택지)'!$L$32="",0,SUMIFS('선택형 (선택결과)'!$E$3:$E$1000,'선택형 (선택결과)'!$A$3:$A$1000,'선택형 (선택지)'!$L$32,'선택형 (선택결과)'!$C$3:$C$1000,2,'선택형 (선택결과)'!$D$3:$D$1000,0))+IF('선택형 (선택지)'!$L$33="",0,SUMIFS('선택형 (선택결과)'!$E$3:$E$1000,'선택형 (선택결과)'!$A$3:$A$1000,'선택형 (선택지)'!$L$33,'선택형 (선택결과)'!$C$3:$C$1000,2,'선택형 (선택결과)'!$D$3:$D$1000,0))+IF('선택형 (선택지)'!$L$34="",0,SUMIFS('선택형 (선택결과)'!$E$3:$E$1000,'선택형 (선택결과)'!$A$3:$A$1000,'선택형 (선택지)'!$L$34,'선택형 (선택결과)'!$C$3:$C$1000,2,'선택형 (선택결과)'!$D$3:$D$1000,0))+IF('선택형 (선택지)'!$L$35="",0,SUMIFS('선택형 (선택결과)'!$E$3:$E$1000,'선택형 (선택결과)'!$A$3:$A$1000,'선택형 (선택지)'!$L$35,'선택형 (선택결과)'!$C$3:$C$1000,2,'선택형 (선택결과)'!$D$3:$D$1000,0))+IF('선택형 (선택지)'!$L$36="",0,SUMIFS('선택형 (선택결과)'!$E$3:$E$1000,'선택형 (선택결과)'!$A$3:$A$1000,'선택형 (선택지)'!$L$36,'선택형 (선택결과)'!$C$3:$C$1000,2,'선택형 (선택결과)'!$D$3:$D$1000,0))+IF('선택형 (선택지)'!$L$37="",0,SUMIFS('선택형 (선택결과)'!$E$3:$E$1000,'선택형 (선택결과)'!$A$3:$A$1000,'선택형 (선택지)'!$L$37,'선택형 (선택결과)'!$C$3:$C$1000,2,'선택형 (선택결과)'!$D$3:$D$1000,0))+IF('선택형 (선택지)'!$L$38="",0,SUMIFS('선택형 (선택결과)'!$E$3:$E$1000,'선택형 (선택결과)'!$A$3:$A$1000,'선택형 (선택지)'!$L$38,'선택형 (선택결과)'!$C$3:$C$1000,2,'선택형 (선택결과)'!$D$3:$D$1000,0))+IF('선택형 (선택지)'!$L$39="",0,SUMIFS('선택형 (선택결과)'!$E$3:$E$1000,'선택형 (선택결과)'!$A$3:$A$1000,'선택형 (선택지)'!$L$39,'선택형 (선택결과)'!$C$3:$C$1000,2,'선택형 (선택결과)'!$D$3:$D$1000,0))+IF('선택형 (선택지)'!$L$40="",0,SUMIFS('선택형 (선택결과)'!$E$3:$E$1000,'선택형 (선택결과)'!$A$3:$A$1000,'선택형 (선택지)'!$L$40,'선택형 (선택결과)'!$C$3:$C$1000,2,'선택형 (선택결과)'!$D$3:$D$1000,0))+IF('선택형 (선택지)'!$L$41="",0,SUMIFS('선택형 (선택결과)'!$E$3:$E$1000,'선택형 (선택결과)'!$A$3:$A$1000,'선택형 (선택지)'!$L$41,'선택형 (선택결과)'!$C$3:$C$1000,2,'선택형 (선택결과)'!$D$3:$D$1000,0))+IF('선택형 (선택지)'!$L$42="",0,SUMIFS('선택형 (선택결과)'!$E$3:$E$1000,'선택형 (선택결과)'!$A$3:$A$1000,'선택형 (선택지)'!$L$42,'선택형 (선택결과)'!$C$3:$C$1000,2,'선택형 (선택결과)'!$D$3:$D$1000,0))</f>
        <v>0</v>
      </c>
      <c r="G7" s="13">
        <f>IF('선택형 (선택지)'!$M$3="",0,SUMIFS('선택형 (선택결과)'!$E$3:$E$1000,'선택형 (선택결과)'!$A$3:$A$1000,'선택형 (선택지)'!$M$3,'선택형 (선택결과)'!$C$3:$C$1000,2,'선택형 (선택결과)'!$D$3:$D$1000,0))+IF('선택형 (선택지)'!$M$4="",0,SUMIFS('선택형 (선택결과)'!$E$3:$E$1000,'선택형 (선택결과)'!$A$3:$A$1000,'선택형 (선택지)'!$M$4,'선택형 (선택결과)'!$C$3:$C$1000,2,'선택형 (선택결과)'!$D$3:$D$1000,0))+IF('선택형 (선택지)'!$M$5="",0,SUMIFS('선택형 (선택결과)'!$E$3:$E$1000,'선택형 (선택결과)'!$A$3:$A$1000,'선택형 (선택지)'!$M$5,'선택형 (선택결과)'!$C$3:$C$1000,2,'선택형 (선택결과)'!$D$3:$D$1000,0))+IF('선택형 (선택지)'!$M$6="",0,SUMIFS('선택형 (선택결과)'!$E$3:$E$1000,'선택형 (선택결과)'!$A$3:$A$1000,'선택형 (선택지)'!$M$6,'선택형 (선택결과)'!$C$3:$C$1000,2,'선택형 (선택결과)'!$D$3:$D$1000,0))+IF('선택형 (선택지)'!$M$7="",0,SUMIFS('선택형 (선택결과)'!$E$3:$E$1000,'선택형 (선택결과)'!$A$3:$A$1000,'선택형 (선택지)'!$M$7,'선택형 (선택결과)'!$C$3:$C$1000,2,'선택형 (선택결과)'!$D$3:$D$1000,0))+IF('선택형 (선택지)'!$M$8="",0,SUMIFS('선택형 (선택결과)'!$E$3:$E$1000,'선택형 (선택결과)'!$A$3:$A$1000,'선택형 (선택지)'!$M$8,'선택형 (선택결과)'!$C$3:$C$1000,2,'선택형 (선택결과)'!$D$3:$D$1000,0))+IF('선택형 (선택지)'!$M$9="",0,SUMIFS('선택형 (선택결과)'!$E$3:$E$1000,'선택형 (선택결과)'!$A$3:$A$1000,'선택형 (선택지)'!$M$9,'선택형 (선택결과)'!$C$3:$C$1000,2,'선택형 (선택결과)'!$D$3:$D$1000,0))+IF('선택형 (선택지)'!$M$10="",0,SUMIFS('선택형 (선택결과)'!$E$3:$E$1000,'선택형 (선택결과)'!$A$3:$A$1000,'선택형 (선택지)'!$M$10,'선택형 (선택결과)'!$C$3:$C$1000,2,'선택형 (선택결과)'!$D$3:$D$1000,0))+IF('선택형 (선택지)'!$M$11="",0,SUMIFS('선택형 (선택결과)'!$E$3:$E$1000,'선택형 (선택결과)'!$A$3:$A$1000,'선택형 (선택지)'!$M$11,'선택형 (선택결과)'!$C$3:$C$1000,2,'선택형 (선택결과)'!$D$3:$D$1000,0))+IF('선택형 (선택지)'!$M$12="",0,SUMIFS('선택형 (선택결과)'!$E$3:$E$1000,'선택형 (선택결과)'!$A$3:$A$1000,'선택형 (선택지)'!$M$12,'선택형 (선택결과)'!$C$3:$C$1000,2,'선택형 (선택결과)'!$D$3:$D$1000,0))+IF('선택형 (선택지)'!$M$13="",0,SUMIFS('선택형 (선택결과)'!$E$3:$E$1000,'선택형 (선택결과)'!$A$3:$A$1000,'선택형 (선택지)'!$M$13,'선택형 (선택결과)'!$C$3:$C$1000,2,'선택형 (선택결과)'!$D$3:$D$1000,0))+IF('선택형 (선택지)'!$M$14="",0,SUMIFS('선택형 (선택결과)'!$E$3:$E$1000,'선택형 (선택결과)'!$A$3:$A$1000,'선택형 (선택지)'!$M$14,'선택형 (선택결과)'!$C$3:$C$1000,2,'선택형 (선택결과)'!$D$3:$D$1000,0))+IF('선택형 (선택지)'!$M$15="",0,SUMIFS('선택형 (선택결과)'!$E$3:$E$1000,'선택형 (선택결과)'!$A$3:$A$1000,'선택형 (선택지)'!$M$15,'선택형 (선택결과)'!$C$3:$C$1000,2,'선택형 (선택결과)'!$D$3:$D$1000,0))+IF('선택형 (선택지)'!$M$16="",0,SUMIFS('선택형 (선택결과)'!$E$3:$E$1000,'선택형 (선택결과)'!$A$3:$A$1000,'선택형 (선택지)'!$M$16,'선택형 (선택결과)'!$C$3:$C$1000,2,'선택형 (선택결과)'!$D$3:$D$1000,0))+IF('선택형 (선택지)'!$M$17="",0,SUMIFS('선택형 (선택결과)'!$E$3:$E$1000,'선택형 (선택결과)'!$A$3:$A$1000,'선택형 (선택지)'!$M$17,'선택형 (선택결과)'!$C$3:$C$1000,2,'선택형 (선택결과)'!$D$3:$D$1000,0))+IF('선택형 (선택지)'!$M$18="",0,SUMIFS('선택형 (선택결과)'!$E$3:$E$1000,'선택형 (선택결과)'!$A$3:$A$1000,'선택형 (선택지)'!$M$18,'선택형 (선택결과)'!$C$3:$C$1000,2,'선택형 (선택결과)'!$D$3:$D$1000,0))+IF('선택형 (선택지)'!$M$19="",0,SUMIFS('선택형 (선택결과)'!$E$3:$E$1000,'선택형 (선택결과)'!$A$3:$A$1000,'선택형 (선택지)'!$M$19,'선택형 (선택결과)'!$C$3:$C$1000,2,'선택형 (선택결과)'!$D$3:$D$1000,0))+IF('선택형 (선택지)'!$M$20="",0,SUMIFS('선택형 (선택결과)'!$E$3:$E$1000,'선택형 (선택결과)'!$A$3:$A$1000,'선택형 (선택지)'!$M$20,'선택형 (선택결과)'!$C$3:$C$1000,2,'선택형 (선택결과)'!$D$3:$D$1000,0))+IF('선택형 (선택지)'!$M$21="",0,SUMIFS('선택형 (선택결과)'!$E$3:$E$1000,'선택형 (선택결과)'!$A$3:$A$1000,'선택형 (선택지)'!$M$21,'선택형 (선택결과)'!$C$3:$C$1000,2,'선택형 (선택결과)'!$D$3:$D$1000,0))+IF('선택형 (선택지)'!$M$22="",0,SUMIFS('선택형 (선택결과)'!$E$3:$E$1000,'선택형 (선택결과)'!$A$3:$A$1000,'선택형 (선택지)'!$M$22,'선택형 (선택결과)'!$C$3:$C$1000,2,'선택형 (선택결과)'!$D$3:$D$1000,0))+IF('선택형 (선택지)'!$M$23="",0,SUMIFS('선택형 (선택결과)'!$E$3:$E$1000,'선택형 (선택결과)'!$A$3:$A$1000,'선택형 (선택지)'!$M$23,'선택형 (선택결과)'!$C$3:$C$1000,2,'선택형 (선택결과)'!$D$3:$D$1000,0))+IF('선택형 (선택지)'!$M$24="",0,SUMIFS('선택형 (선택결과)'!$E$3:$E$1000,'선택형 (선택결과)'!$A$3:$A$1000,'선택형 (선택지)'!$M$24,'선택형 (선택결과)'!$C$3:$C$1000,2,'선택형 (선택결과)'!$D$3:$D$1000,0))+IF('선택형 (선택지)'!$M$25="",0,SUMIFS('선택형 (선택결과)'!$E$3:$E$1000,'선택형 (선택결과)'!$A$3:$A$1000,'선택형 (선택지)'!$M$25,'선택형 (선택결과)'!$C$3:$C$1000,2,'선택형 (선택결과)'!$D$3:$D$1000,0))+IF('선택형 (선택지)'!$M$26="",0,SUMIFS('선택형 (선택결과)'!$E$3:$E$1000,'선택형 (선택결과)'!$A$3:$A$1000,'선택형 (선택지)'!$M$26,'선택형 (선택결과)'!$C$3:$C$1000,2,'선택형 (선택결과)'!$D$3:$D$1000,0))+IF('선택형 (선택지)'!$M$27="",0,SUMIFS('선택형 (선택결과)'!$E$3:$E$1000,'선택형 (선택결과)'!$A$3:$A$1000,'선택형 (선택지)'!$M$27,'선택형 (선택결과)'!$C$3:$C$1000,2,'선택형 (선택결과)'!$D$3:$D$1000,0))+IF('선택형 (선택지)'!$M$28="",0,SUMIFS('선택형 (선택결과)'!$E$3:$E$1000,'선택형 (선택결과)'!$A$3:$A$1000,'선택형 (선택지)'!$M$28,'선택형 (선택결과)'!$C$3:$C$1000,2,'선택형 (선택결과)'!$D$3:$D$1000,0))+IF('선택형 (선택지)'!$M$29="",0,SUMIFS('선택형 (선택결과)'!$E$3:$E$1000,'선택형 (선택결과)'!$A$3:$A$1000,'선택형 (선택지)'!$M$29,'선택형 (선택결과)'!$C$3:$C$1000,2,'선택형 (선택결과)'!$D$3:$D$1000,0))+IF('선택형 (선택지)'!$M$30="",0,SUMIFS('선택형 (선택결과)'!$E$3:$E$1000,'선택형 (선택결과)'!$A$3:$A$1000,'선택형 (선택지)'!$M$30,'선택형 (선택결과)'!$C$3:$C$1000,2,'선택형 (선택결과)'!$D$3:$D$1000,0))+IF('선택형 (선택지)'!$M$31="",0,SUMIFS('선택형 (선택결과)'!$E$3:$E$1000,'선택형 (선택결과)'!$A$3:$A$1000,'선택형 (선택지)'!$M$31,'선택형 (선택결과)'!$C$3:$C$1000,2,'선택형 (선택결과)'!$D$3:$D$1000,0))+IF('선택형 (선택지)'!$M$32="",0,SUMIFS('선택형 (선택결과)'!$E$3:$E$1000,'선택형 (선택결과)'!$A$3:$A$1000,'선택형 (선택지)'!$M$32,'선택형 (선택결과)'!$C$3:$C$1000,2,'선택형 (선택결과)'!$D$3:$D$1000,0))+IF('선택형 (선택지)'!$M$33="",0,SUMIFS('선택형 (선택결과)'!$E$3:$E$1000,'선택형 (선택결과)'!$A$3:$A$1000,'선택형 (선택지)'!$M$33,'선택형 (선택결과)'!$C$3:$C$1000,2,'선택형 (선택결과)'!$D$3:$D$1000,0))+IF('선택형 (선택지)'!$M$34="",0,SUMIFS('선택형 (선택결과)'!$E$3:$E$1000,'선택형 (선택결과)'!$A$3:$A$1000,'선택형 (선택지)'!$M$34,'선택형 (선택결과)'!$C$3:$C$1000,2,'선택형 (선택결과)'!$D$3:$D$1000,0))+IF('선택형 (선택지)'!$M$35="",0,SUMIFS('선택형 (선택결과)'!$E$3:$E$1000,'선택형 (선택결과)'!$A$3:$A$1000,'선택형 (선택지)'!$M$35,'선택형 (선택결과)'!$C$3:$C$1000,2,'선택형 (선택결과)'!$D$3:$D$1000,0))+IF('선택형 (선택지)'!$M$36="",0,SUMIFS('선택형 (선택결과)'!$E$3:$E$1000,'선택형 (선택결과)'!$A$3:$A$1000,'선택형 (선택지)'!$M$36,'선택형 (선택결과)'!$C$3:$C$1000,2,'선택형 (선택결과)'!$D$3:$D$1000,0))+IF('선택형 (선택지)'!$M$37="",0,SUMIFS('선택형 (선택결과)'!$E$3:$E$1000,'선택형 (선택결과)'!$A$3:$A$1000,'선택형 (선택지)'!$M$37,'선택형 (선택결과)'!$C$3:$C$1000,2,'선택형 (선택결과)'!$D$3:$D$1000,0))+IF('선택형 (선택지)'!$M$38="",0,SUMIFS('선택형 (선택결과)'!$E$3:$E$1000,'선택형 (선택결과)'!$A$3:$A$1000,'선택형 (선택지)'!$M$38,'선택형 (선택결과)'!$C$3:$C$1000,2,'선택형 (선택결과)'!$D$3:$D$1000,0))+IF('선택형 (선택지)'!$M$39="",0,SUMIFS('선택형 (선택결과)'!$E$3:$E$1000,'선택형 (선택결과)'!$A$3:$A$1000,'선택형 (선택지)'!$M$39,'선택형 (선택결과)'!$C$3:$C$1000,2,'선택형 (선택결과)'!$D$3:$D$1000,0))+IF('선택형 (선택지)'!$M$40="",0,SUMIFS('선택형 (선택결과)'!$E$3:$E$1000,'선택형 (선택결과)'!$A$3:$A$1000,'선택형 (선택지)'!$M$40,'선택형 (선택결과)'!$C$3:$C$1000,2,'선택형 (선택결과)'!$D$3:$D$1000,0))+IF('선택형 (선택지)'!$M$41="",0,SUMIFS('선택형 (선택결과)'!$E$3:$E$1000,'선택형 (선택결과)'!$A$3:$A$1000,'선택형 (선택지)'!$M$41,'선택형 (선택결과)'!$C$3:$C$1000,2,'선택형 (선택결과)'!$D$3:$D$1000,0))+IF('선택형 (선택지)'!$M$42="",0,SUMIFS('선택형 (선택결과)'!$E$3:$E$1000,'선택형 (선택결과)'!$A$3:$A$1000,'선택형 (선택지)'!$M$42,'선택형 (선택결과)'!$C$3:$C$1000,2,'선택형 (선택결과)'!$D$3:$D$1000,0))</f>
        <v>0</v>
      </c>
      <c r="H7" s="147">
        <f>SUM(C7:G7)</f>
        <v>44</v>
      </c>
      <c r="I7" s="153" t="s">
        <v>707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workbookViewId="0"/>
  </sheetViews>
  <sheetFormatPr defaultRowHeight="16.5" x14ac:dyDescent="0.3"/>
  <cols>
    <col min="1" max="1" width="14.5" style="6" customWidth="1"/>
    <col min="2" max="2" width="9.5" style="6" customWidth="1"/>
    <col min="3" max="3" width="19.125" style="6" customWidth="1"/>
    <col min="4" max="4" width="23.25" style="6" customWidth="1"/>
    <col min="5" max="5" width="33.125" style="10" customWidth="1"/>
    <col min="6" max="16" width="25.625" style="6" customWidth="1"/>
    <col min="17" max="17" width="25.625" style="9" customWidth="1"/>
    <col min="18" max="16384" width="9" style="1"/>
  </cols>
  <sheetData>
    <row r="1" spans="1:17" ht="66" x14ac:dyDescent="0.3">
      <c r="A1" s="4" t="s">
        <v>39</v>
      </c>
      <c r="B1" s="4" t="s">
        <v>45</v>
      </c>
      <c r="C1" s="11" t="s">
        <v>51</v>
      </c>
      <c r="D1" s="11" t="s">
        <v>471</v>
      </c>
      <c r="E1" s="4" t="s">
        <v>61</v>
      </c>
      <c r="F1" s="11" t="s">
        <v>472</v>
      </c>
      <c r="G1" s="11" t="s">
        <v>473</v>
      </c>
      <c r="H1" s="11" t="s">
        <v>474</v>
      </c>
      <c r="I1" s="11" t="s">
        <v>475</v>
      </c>
      <c r="J1" s="4" t="s">
        <v>126</v>
      </c>
      <c r="K1" s="11" t="s">
        <v>476</v>
      </c>
      <c r="L1" s="4" t="s">
        <v>133</v>
      </c>
      <c r="M1" s="11" t="s">
        <v>477</v>
      </c>
      <c r="N1" s="4" t="s">
        <v>323</v>
      </c>
      <c r="O1" s="11" t="s">
        <v>478</v>
      </c>
      <c r="P1" s="4" t="s">
        <v>325</v>
      </c>
      <c r="Q1" s="4" t="s">
        <v>5</v>
      </c>
    </row>
    <row r="2" spans="1:17" x14ac:dyDescent="0.3">
      <c r="A2" s="4" t="s">
        <v>40</v>
      </c>
      <c r="B2" s="4" t="s">
        <v>479</v>
      </c>
      <c r="C2" s="4" t="s">
        <v>52</v>
      </c>
      <c r="D2" s="4" t="s">
        <v>57</v>
      </c>
      <c r="E2" s="14" t="s">
        <v>62</v>
      </c>
      <c r="F2" s="4" t="s">
        <v>480</v>
      </c>
      <c r="G2" s="4" t="s">
        <v>481</v>
      </c>
      <c r="H2" s="4" t="s">
        <v>482</v>
      </c>
      <c r="I2" s="4" t="s">
        <v>483</v>
      </c>
      <c r="J2" s="4" t="s">
        <v>484</v>
      </c>
      <c r="K2" s="4" t="s">
        <v>483</v>
      </c>
      <c r="L2" s="4" t="s">
        <v>484</v>
      </c>
      <c r="M2" s="4" t="s">
        <v>485</v>
      </c>
      <c r="N2" s="4" t="s">
        <v>486</v>
      </c>
      <c r="O2" s="4" t="s">
        <v>485</v>
      </c>
      <c r="P2" s="4" t="s">
        <v>486</v>
      </c>
      <c r="Q2" s="4" t="s">
        <v>64</v>
      </c>
    </row>
    <row r="3" spans="1:17" ht="33" x14ac:dyDescent="0.3">
      <c r="A3" s="8" t="s">
        <v>487</v>
      </c>
      <c r="B3" s="8">
        <v>1</v>
      </c>
      <c r="C3" s="12" t="s">
        <v>488</v>
      </c>
      <c r="D3" s="12">
        <v>4</v>
      </c>
      <c r="E3" s="15" t="s">
        <v>489</v>
      </c>
      <c r="F3" s="12">
        <v>0</v>
      </c>
      <c r="G3" s="12">
        <v>4</v>
      </c>
      <c r="H3" s="12"/>
      <c r="I3" s="12">
        <v>0</v>
      </c>
      <c r="J3" s="12">
        <v>500</v>
      </c>
      <c r="M3" s="12">
        <v>1</v>
      </c>
      <c r="N3" s="12">
        <v>-5</v>
      </c>
      <c r="O3" s="12">
        <v>0</v>
      </c>
      <c r="P3" s="12">
        <v>3</v>
      </c>
      <c r="Q3" s="6"/>
    </row>
    <row r="4" spans="1:17" ht="33" x14ac:dyDescent="0.3">
      <c r="A4" s="8" t="s">
        <v>490</v>
      </c>
      <c r="B4" s="8">
        <v>1</v>
      </c>
      <c r="C4" s="12" t="s">
        <v>491</v>
      </c>
      <c r="D4" s="12">
        <v>3</v>
      </c>
      <c r="E4" s="15" t="s">
        <v>261</v>
      </c>
      <c r="F4" s="12">
        <v>0</v>
      </c>
      <c r="G4" s="12">
        <v>4</v>
      </c>
      <c r="H4" s="12"/>
      <c r="I4" s="12">
        <v>0</v>
      </c>
      <c r="J4" s="12">
        <v>300</v>
      </c>
      <c r="M4" s="12">
        <v>1</v>
      </c>
      <c r="N4" s="12">
        <v>5</v>
      </c>
      <c r="O4" s="12">
        <v>0</v>
      </c>
      <c r="P4" s="12">
        <v>1</v>
      </c>
      <c r="Q4" s="6"/>
    </row>
    <row r="5" spans="1:17" ht="33" x14ac:dyDescent="0.3">
      <c r="A5" s="8" t="s">
        <v>492</v>
      </c>
      <c r="B5" s="8">
        <v>1</v>
      </c>
      <c r="C5" s="12" t="s">
        <v>493</v>
      </c>
      <c r="D5" s="12">
        <v>0</v>
      </c>
      <c r="E5" s="15" t="s">
        <v>494</v>
      </c>
      <c r="F5" s="12">
        <v>1</v>
      </c>
      <c r="G5" s="12">
        <v>1</v>
      </c>
      <c r="H5" s="12">
        <v>0</v>
      </c>
      <c r="I5" s="12">
        <v>3</v>
      </c>
      <c r="J5" s="12">
        <v>3</v>
      </c>
      <c r="M5" s="12">
        <v>4</v>
      </c>
      <c r="N5" s="12">
        <v>1</v>
      </c>
      <c r="O5" s="12" t="s">
        <v>43</v>
      </c>
      <c r="P5" s="12" t="s">
        <v>43</v>
      </c>
      <c r="Q5" s="6"/>
    </row>
    <row r="6" spans="1:17" ht="33" x14ac:dyDescent="0.3">
      <c r="A6" s="8" t="s">
        <v>495</v>
      </c>
      <c r="B6" s="8">
        <v>1</v>
      </c>
      <c r="C6" s="12" t="s">
        <v>496</v>
      </c>
      <c r="D6" s="12">
        <v>1</v>
      </c>
      <c r="E6" s="15" t="s">
        <v>497</v>
      </c>
      <c r="F6" s="12">
        <v>1</v>
      </c>
      <c r="G6" s="12">
        <v>1</v>
      </c>
      <c r="H6" s="12">
        <v>0</v>
      </c>
      <c r="I6" s="12">
        <v>3</v>
      </c>
      <c r="J6" s="12">
        <v>3</v>
      </c>
      <c r="M6" s="12">
        <v>5</v>
      </c>
      <c r="N6" s="12">
        <v>1</v>
      </c>
      <c r="O6" s="12" t="s">
        <v>43</v>
      </c>
      <c r="P6" s="12" t="s">
        <v>43</v>
      </c>
      <c r="Q6" s="6"/>
    </row>
    <row r="7" spans="1:17" ht="33" x14ac:dyDescent="0.3">
      <c r="A7" s="8" t="s">
        <v>498</v>
      </c>
      <c r="B7" s="8">
        <v>1</v>
      </c>
      <c r="C7" s="12" t="s">
        <v>499</v>
      </c>
      <c r="D7" s="12">
        <v>4</v>
      </c>
      <c r="E7" s="15" t="s">
        <v>500</v>
      </c>
      <c r="F7" s="12">
        <v>0</v>
      </c>
      <c r="G7" s="12">
        <v>4</v>
      </c>
      <c r="H7" s="12"/>
      <c r="I7" s="12">
        <v>1</v>
      </c>
      <c r="J7" s="12">
        <v>3</v>
      </c>
      <c r="M7" s="12">
        <v>0</v>
      </c>
      <c r="N7" s="12">
        <v>1</v>
      </c>
      <c r="O7" s="12"/>
      <c r="P7" s="12"/>
      <c r="Q7" s="6"/>
    </row>
    <row r="8" spans="1:17" ht="33" x14ac:dyDescent="0.3">
      <c r="A8" s="8" t="s">
        <v>501</v>
      </c>
      <c r="B8" s="8">
        <v>1</v>
      </c>
      <c r="C8" s="12" t="s">
        <v>502</v>
      </c>
      <c r="D8" s="12">
        <v>0</v>
      </c>
      <c r="E8" s="15" t="s">
        <v>503</v>
      </c>
      <c r="F8" s="12">
        <v>1</v>
      </c>
      <c r="G8" s="12">
        <v>1</v>
      </c>
      <c r="H8" s="12">
        <v>0</v>
      </c>
      <c r="I8" s="12">
        <v>0</v>
      </c>
      <c r="J8" s="12">
        <v>500</v>
      </c>
      <c r="M8" s="12">
        <v>1</v>
      </c>
      <c r="N8" s="12">
        <v>-5</v>
      </c>
      <c r="O8" s="12">
        <v>4</v>
      </c>
      <c r="P8" s="12">
        <v>1</v>
      </c>
      <c r="Q8" s="6"/>
    </row>
    <row r="9" spans="1:17" ht="33" x14ac:dyDescent="0.3">
      <c r="A9" s="8" t="s">
        <v>504</v>
      </c>
      <c r="B9" s="8">
        <v>1</v>
      </c>
      <c r="C9" s="12" t="s">
        <v>505</v>
      </c>
      <c r="D9" s="12">
        <v>1</v>
      </c>
      <c r="E9" s="15" t="s">
        <v>506</v>
      </c>
      <c r="F9" s="12">
        <v>1</v>
      </c>
      <c r="G9" s="12">
        <v>1</v>
      </c>
      <c r="H9" s="12">
        <v>0</v>
      </c>
      <c r="I9" s="12">
        <v>2</v>
      </c>
      <c r="J9" s="12">
        <v>3</v>
      </c>
      <c r="M9" s="12">
        <v>3</v>
      </c>
      <c r="N9" s="12">
        <v>5</v>
      </c>
      <c r="O9" s="12" t="s">
        <v>43</v>
      </c>
      <c r="P9" s="12" t="s">
        <v>43</v>
      </c>
      <c r="Q9" s="6"/>
    </row>
    <row r="10" spans="1:17" ht="33" x14ac:dyDescent="0.3">
      <c r="A10" s="8" t="s">
        <v>507</v>
      </c>
      <c r="B10" s="8">
        <v>1</v>
      </c>
      <c r="C10" s="12" t="s">
        <v>508</v>
      </c>
      <c r="D10" s="12">
        <v>3</v>
      </c>
      <c r="E10" s="15" t="s">
        <v>509</v>
      </c>
      <c r="F10" s="12">
        <v>0</v>
      </c>
      <c r="G10" s="12">
        <v>4</v>
      </c>
      <c r="H10" s="12"/>
      <c r="I10" s="12">
        <v>1</v>
      </c>
      <c r="J10" s="12">
        <v>3</v>
      </c>
      <c r="M10" s="12">
        <v>0</v>
      </c>
      <c r="N10" s="12">
        <v>3</v>
      </c>
      <c r="O10" s="12"/>
      <c r="P10" s="12"/>
      <c r="Q10" s="6"/>
    </row>
    <row r="11" spans="1:17" ht="33" x14ac:dyDescent="0.3">
      <c r="A11" s="8" t="s">
        <v>510</v>
      </c>
      <c r="B11" s="8">
        <v>1</v>
      </c>
      <c r="C11" s="12" t="s">
        <v>511</v>
      </c>
      <c r="D11" s="12">
        <v>1</v>
      </c>
      <c r="E11" s="15" t="s">
        <v>512</v>
      </c>
      <c r="F11" s="12">
        <v>1</v>
      </c>
      <c r="G11" s="12">
        <v>1</v>
      </c>
      <c r="H11" s="12">
        <v>0</v>
      </c>
      <c r="I11" s="12">
        <v>0</v>
      </c>
      <c r="J11" s="12">
        <v>700</v>
      </c>
      <c r="K11" s="12">
        <v>2</v>
      </c>
      <c r="L11" s="12">
        <v>3</v>
      </c>
      <c r="M11" s="12">
        <v>3</v>
      </c>
      <c r="N11" s="12">
        <v>3</v>
      </c>
      <c r="O11" s="12">
        <v>4</v>
      </c>
      <c r="P11" s="12">
        <v>1</v>
      </c>
      <c r="Q11" s="6"/>
    </row>
    <row r="12" spans="1:17" ht="33" x14ac:dyDescent="0.3">
      <c r="A12" s="8" t="s">
        <v>513</v>
      </c>
      <c r="B12" s="8">
        <v>1</v>
      </c>
      <c r="C12" s="12" t="s">
        <v>514</v>
      </c>
      <c r="D12" s="12">
        <v>3</v>
      </c>
      <c r="E12" s="15" t="s">
        <v>515</v>
      </c>
      <c r="F12" s="12">
        <v>1</v>
      </c>
      <c r="G12" s="12">
        <v>1</v>
      </c>
      <c r="H12" s="12">
        <v>0</v>
      </c>
      <c r="I12" s="12">
        <v>0</v>
      </c>
      <c r="J12" s="12">
        <v>1000</v>
      </c>
      <c r="M12" s="12">
        <v>4</v>
      </c>
      <c r="N12" s="12">
        <v>1</v>
      </c>
      <c r="O12" s="12">
        <v>5</v>
      </c>
      <c r="P12" s="12">
        <v>1</v>
      </c>
      <c r="Q12" s="6"/>
    </row>
    <row r="13" spans="1:17" ht="33" x14ac:dyDescent="0.3">
      <c r="A13" s="12" t="s">
        <v>516</v>
      </c>
      <c r="B13" s="6">
        <v>2</v>
      </c>
      <c r="C13" s="12" t="s">
        <v>517</v>
      </c>
      <c r="D13" s="12">
        <v>0</v>
      </c>
      <c r="E13" s="15" t="s">
        <v>518</v>
      </c>
      <c r="F13" s="12">
        <v>0</v>
      </c>
      <c r="G13" s="12">
        <v>4</v>
      </c>
      <c r="H13" s="12"/>
      <c r="I13" s="12">
        <v>3</v>
      </c>
      <c r="J13" s="12">
        <v>3</v>
      </c>
      <c r="K13" s="12"/>
      <c r="L13" s="12"/>
      <c r="M13" s="12">
        <v>1</v>
      </c>
      <c r="N13" s="12">
        <v>-7</v>
      </c>
      <c r="O13" s="12">
        <v>0</v>
      </c>
      <c r="P13" s="12">
        <v>4</v>
      </c>
      <c r="Q13" s="6"/>
    </row>
    <row r="14" spans="1:17" ht="33" x14ac:dyDescent="0.3">
      <c r="A14" s="12" t="s">
        <v>519</v>
      </c>
      <c r="B14" s="6">
        <v>2</v>
      </c>
      <c r="C14" s="12" t="s">
        <v>520</v>
      </c>
      <c r="D14" s="12">
        <v>1</v>
      </c>
      <c r="E14" s="15" t="s">
        <v>521</v>
      </c>
      <c r="F14" s="12">
        <v>1</v>
      </c>
      <c r="G14" s="12">
        <v>1</v>
      </c>
      <c r="H14" s="12">
        <v>0</v>
      </c>
      <c r="I14" s="12">
        <v>2</v>
      </c>
      <c r="J14" s="12">
        <v>3</v>
      </c>
      <c r="K14" s="12"/>
      <c r="L14" s="12"/>
      <c r="M14" s="12">
        <v>2</v>
      </c>
      <c r="N14" s="12">
        <v>1</v>
      </c>
      <c r="O14" s="12">
        <v>4</v>
      </c>
      <c r="P14" s="12">
        <v>1</v>
      </c>
      <c r="Q14" s="6"/>
    </row>
    <row r="15" spans="1:17" ht="33" x14ac:dyDescent="0.3">
      <c r="A15" s="12" t="s">
        <v>522</v>
      </c>
      <c r="B15" s="6">
        <v>2</v>
      </c>
      <c r="C15" s="12" t="s">
        <v>523</v>
      </c>
      <c r="D15" s="12">
        <v>0</v>
      </c>
      <c r="E15" s="15" t="s">
        <v>524</v>
      </c>
      <c r="F15" s="12">
        <v>1</v>
      </c>
      <c r="G15" s="12">
        <v>1</v>
      </c>
      <c r="H15" s="12">
        <v>0</v>
      </c>
      <c r="I15" s="12">
        <v>3</v>
      </c>
      <c r="J15" s="12">
        <v>3</v>
      </c>
      <c r="K15" s="12"/>
      <c r="L15" s="12"/>
      <c r="M15" s="12">
        <v>5</v>
      </c>
      <c r="N15" s="12">
        <v>1</v>
      </c>
      <c r="O15" s="12" t="s">
        <v>43</v>
      </c>
      <c r="P15" s="12" t="s">
        <v>43</v>
      </c>
      <c r="Q15" s="6"/>
    </row>
    <row r="16" spans="1:17" ht="33" x14ac:dyDescent="0.3">
      <c r="A16" s="12" t="s">
        <v>525</v>
      </c>
      <c r="B16" s="6">
        <v>2</v>
      </c>
      <c r="C16" s="12" t="s">
        <v>526</v>
      </c>
      <c r="D16" s="12">
        <v>1</v>
      </c>
      <c r="E16" s="15" t="s">
        <v>527</v>
      </c>
      <c r="F16" s="12">
        <v>0</v>
      </c>
      <c r="G16" s="12">
        <v>4</v>
      </c>
      <c r="H16" s="12"/>
      <c r="I16" s="12">
        <v>0</v>
      </c>
      <c r="J16" s="12">
        <v>500</v>
      </c>
      <c r="K16" s="12">
        <v>3</v>
      </c>
      <c r="L16" s="12">
        <v>2</v>
      </c>
      <c r="M16" s="12">
        <v>1</v>
      </c>
      <c r="N16" s="12">
        <v>-5</v>
      </c>
      <c r="O16" s="12">
        <v>0</v>
      </c>
      <c r="P16" s="12">
        <v>3</v>
      </c>
      <c r="Q16" s="6"/>
    </row>
    <row r="17" spans="1:17" ht="33" x14ac:dyDescent="0.3">
      <c r="A17" s="12" t="s">
        <v>528</v>
      </c>
      <c r="B17" s="6">
        <v>2</v>
      </c>
      <c r="C17" s="12" t="s">
        <v>529</v>
      </c>
      <c r="D17" s="12">
        <v>0</v>
      </c>
      <c r="E17" s="15" t="s">
        <v>530</v>
      </c>
      <c r="F17" s="12">
        <v>1</v>
      </c>
      <c r="G17" s="12">
        <v>1</v>
      </c>
      <c r="H17" s="12">
        <v>0</v>
      </c>
      <c r="I17" s="12">
        <v>0</v>
      </c>
      <c r="J17" s="12">
        <v>300</v>
      </c>
      <c r="K17" s="12"/>
      <c r="L17" s="12"/>
      <c r="M17" s="12">
        <v>4</v>
      </c>
      <c r="N17" s="12">
        <v>1</v>
      </c>
      <c r="O17" s="12">
        <v>1</v>
      </c>
      <c r="P17" s="12">
        <v>-5</v>
      </c>
      <c r="Q17" s="6"/>
    </row>
    <row r="18" spans="1:17" ht="33" x14ac:dyDescent="0.3">
      <c r="A18" s="12" t="s">
        <v>531</v>
      </c>
      <c r="B18" s="6">
        <v>2</v>
      </c>
      <c r="C18" s="12" t="s">
        <v>532</v>
      </c>
      <c r="D18" s="12">
        <v>4</v>
      </c>
      <c r="E18" s="15" t="s">
        <v>533</v>
      </c>
      <c r="F18" s="12">
        <v>0</v>
      </c>
      <c r="G18" s="12">
        <v>4</v>
      </c>
      <c r="H18" s="12"/>
      <c r="I18" s="12">
        <v>0</v>
      </c>
      <c r="J18" s="12">
        <v>500</v>
      </c>
      <c r="K18" s="12"/>
      <c r="L18" s="12"/>
      <c r="M18" s="12">
        <v>1</v>
      </c>
      <c r="N18" s="12">
        <v>-5</v>
      </c>
      <c r="O18" s="12">
        <v>0</v>
      </c>
      <c r="P18" s="12">
        <v>1</v>
      </c>
      <c r="Q18" s="6"/>
    </row>
    <row r="19" spans="1:17" ht="33" x14ac:dyDescent="0.3">
      <c r="A19" s="12" t="s">
        <v>534</v>
      </c>
      <c r="B19" s="6">
        <v>2</v>
      </c>
      <c r="C19" s="12" t="s">
        <v>535</v>
      </c>
      <c r="D19" s="12">
        <v>0</v>
      </c>
      <c r="E19" s="15" t="s">
        <v>536</v>
      </c>
      <c r="F19" s="12">
        <v>1</v>
      </c>
      <c r="G19" s="12">
        <v>1</v>
      </c>
      <c r="H19" s="12">
        <v>0</v>
      </c>
      <c r="I19" s="12">
        <v>0</v>
      </c>
      <c r="J19" s="12">
        <v>700</v>
      </c>
      <c r="K19" s="12">
        <v>2</v>
      </c>
      <c r="L19" s="12">
        <v>2</v>
      </c>
      <c r="M19" s="12">
        <v>5</v>
      </c>
      <c r="N19" s="12">
        <v>1</v>
      </c>
      <c r="O19" s="12">
        <v>3</v>
      </c>
      <c r="P19" s="12">
        <v>2</v>
      </c>
      <c r="Q19" s="6"/>
    </row>
    <row r="20" spans="1:17" ht="33" x14ac:dyDescent="0.3">
      <c r="A20" s="12" t="s">
        <v>537</v>
      </c>
      <c r="B20" s="6">
        <v>2</v>
      </c>
      <c r="C20" s="12" t="s">
        <v>538</v>
      </c>
      <c r="D20" s="12">
        <v>1</v>
      </c>
      <c r="E20" s="15" t="s">
        <v>539</v>
      </c>
      <c r="F20" s="12">
        <v>1</v>
      </c>
      <c r="G20" s="12">
        <v>1</v>
      </c>
      <c r="H20" s="12">
        <v>0</v>
      </c>
      <c r="I20" s="12">
        <v>3</v>
      </c>
      <c r="J20" s="12">
        <v>4</v>
      </c>
      <c r="K20" s="12"/>
      <c r="L20" s="12"/>
      <c r="M20" s="12">
        <v>4</v>
      </c>
      <c r="N20" s="12">
        <v>1</v>
      </c>
      <c r="O20" s="12" t="s">
        <v>43</v>
      </c>
      <c r="P20" s="12" t="s">
        <v>43</v>
      </c>
      <c r="Q20" s="6"/>
    </row>
    <row r="21" spans="1:17" ht="33" x14ac:dyDescent="0.3">
      <c r="A21" s="12" t="s">
        <v>540</v>
      </c>
      <c r="B21" s="6">
        <v>2</v>
      </c>
      <c r="C21" s="12" t="s">
        <v>541</v>
      </c>
      <c r="D21" s="12">
        <v>3</v>
      </c>
      <c r="E21" s="15" t="s">
        <v>542</v>
      </c>
      <c r="F21" s="12">
        <v>0</v>
      </c>
      <c r="G21" s="12">
        <v>4</v>
      </c>
      <c r="H21" s="12"/>
      <c r="I21" s="12">
        <v>1</v>
      </c>
      <c r="J21" s="12">
        <v>3</v>
      </c>
      <c r="K21" s="12"/>
      <c r="L21" s="12"/>
      <c r="M21" s="12">
        <v>1</v>
      </c>
      <c r="N21" s="12">
        <v>-5</v>
      </c>
      <c r="O21" s="12">
        <v>0</v>
      </c>
      <c r="P21" s="12">
        <v>3</v>
      </c>
      <c r="Q21" s="6"/>
    </row>
    <row r="22" spans="1:17" ht="33" x14ac:dyDescent="0.3">
      <c r="A22" s="12" t="s">
        <v>543</v>
      </c>
      <c r="B22" s="6">
        <v>2</v>
      </c>
      <c r="C22" s="12" t="s">
        <v>544</v>
      </c>
      <c r="D22" s="12">
        <v>3</v>
      </c>
      <c r="E22" s="15" t="s">
        <v>545</v>
      </c>
      <c r="F22" s="12">
        <v>0</v>
      </c>
      <c r="G22" s="12">
        <v>4</v>
      </c>
      <c r="H22" s="12"/>
      <c r="I22" s="12">
        <v>0</v>
      </c>
      <c r="J22" s="12">
        <v>700</v>
      </c>
      <c r="K22" s="12"/>
      <c r="L22" s="12"/>
      <c r="M22" s="12">
        <v>1</v>
      </c>
      <c r="N22" s="12">
        <v>10</v>
      </c>
      <c r="O22" s="12">
        <v>0</v>
      </c>
      <c r="P22" s="12">
        <v>1</v>
      </c>
      <c r="Q22" s="6"/>
    </row>
    <row r="23" spans="1:17" ht="33" x14ac:dyDescent="0.3">
      <c r="A23" s="12" t="s">
        <v>546</v>
      </c>
      <c r="B23" s="6">
        <v>3</v>
      </c>
      <c r="C23" s="12" t="s">
        <v>547</v>
      </c>
      <c r="D23" s="12">
        <v>1</v>
      </c>
      <c r="E23" s="15" t="s">
        <v>548</v>
      </c>
      <c r="F23" s="12">
        <v>0</v>
      </c>
      <c r="G23" s="12">
        <v>4</v>
      </c>
      <c r="H23" s="12"/>
      <c r="I23" s="12">
        <v>3</v>
      </c>
      <c r="J23" s="12">
        <v>3</v>
      </c>
      <c r="K23" s="12"/>
      <c r="L23" s="12"/>
      <c r="M23" s="12">
        <v>1</v>
      </c>
      <c r="N23" s="12">
        <v>-5</v>
      </c>
      <c r="O23" s="12">
        <v>0</v>
      </c>
      <c r="P23" s="12">
        <v>1</v>
      </c>
      <c r="Q23" s="6"/>
    </row>
    <row r="24" spans="1:17" ht="33" x14ac:dyDescent="0.3">
      <c r="A24" s="12" t="s">
        <v>549</v>
      </c>
      <c r="B24" s="6">
        <v>3</v>
      </c>
      <c r="C24" s="12" t="s">
        <v>550</v>
      </c>
      <c r="D24" s="12">
        <v>4</v>
      </c>
      <c r="E24" s="15" t="s">
        <v>551</v>
      </c>
      <c r="F24" s="12">
        <v>0</v>
      </c>
      <c r="G24" s="12">
        <v>4</v>
      </c>
      <c r="H24" s="12"/>
      <c r="I24" s="12">
        <v>0</v>
      </c>
      <c r="J24" s="12">
        <v>300</v>
      </c>
      <c r="K24" s="12"/>
      <c r="L24" s="12"/>
      <c r="M24" s="12">
        <v>1</v>
      </c>
      <c r="N24" s="12">
        <v>-4</v>
      </c>
      <c r="O24" s="12">
        <v>0</v>
      </c>
      <c r="P24" s="12">
        <v>1</v>
      </c>
      <c r="Q24" s="6"/>
    </row>
    <row r="25" spans="1:17" ht="33" x14ac:dyDescent="0.3">
      <c r="A25" s="12" t="s">
        <v>552</v>
      </c>
      <c r="B25" s="6">
        <v>3</v>
      </c>
      <c r="C25" s="12" t="s">
        <v>553</v>
      </c>
      <c r="D25" s="12">
        <v>3</v>
      </c>
      <c r="E25" s="15" t="s">
        <v>554</v>
      </c>
      <c r="F25" s="12">
        <v>1</v>
      </c>
      <c r="G25" s="12">
        <v>1</v>
      </c>
      <c r="H25" s="12">
        <v>0</v>
      </c>
      <c r="I25" s="12">
        <v>3</v>
      </c>
      <c r="J25" s="12">
        <v>3</v>
      </c>
      <c r="K25" s="12"/>
      <c r="L25" s="12"/>
      <c r="M25" s="12">
        <v>5</v>
      </c>
      <c r="N25" s="12">
        <v>1</v>
      </c>
      <c r="O25" s="12" t="s">
        <v>43</v>
      </c>
      <c r="P25" s="12" t="s">
        <v>43</v>
      </c>
      <c r="Q25" s="6"/>
    </row>
    <row r="26" spans="1:17" ht="33" x14ac:dyDescent="0.3">
      <c r="A26" s="12" t="s">
        <v>555</v>
      </c>
      <c r="B26" s="6">
        <v>3</v>
      </c>
      <c r="C26" s="12" t="s">
        <v>556</v>
      </c>
      <c r="D26" s="12">
        <v>0</v>
      </c>
      <c r="E26" s="15" t="s">
        <v>557</v>
      </c>
      <c r="F26" s="12">
        <v>0</v>
      </c>
      <c r="G26" s="12">
        <v>4</v>
      </c>
      <c r="H26" s="12"/>
      <c r="I26" s="12">
        <v>0</v>
      </c>
      <c r="J26" s="12">
        <v>500</v>
      </c>
      <c r="K26" s="12"/>
      <c r="L26" s="12"/>
      <c r="M26" s="12">
        <v>0</v>
      </c>
      <c r="N26" s="12">
        <v>3</v>
      </c>
      <c r="O26" s="12" t="s">
        <v>43</v>
      </c>
      <c r="P26" s="12" t="s">
        <v>43</v>
      </c>
      <c r="Q26" s="6"/>
    </row>
    <row r="27" spans="1:17" ht="33" x14ac:dyDescent="0.3">
      <c r="A27" s="12" t="s">
        <v>558</v>
      </c>
      <c r="B27" s="6">
        <v>3</v>
      </c>
      <c r="C27" s="12" t="s">
        <v>559</v>
      </c>
      <c r="D27" s="12">
        <v>1</v>
      </c>
      <c r="E27" s="15" t="s">
        <v>560</v>
      </c>
      <c r="F27" s="12">
        <v>0</v>
      </c>
      <c r="G27" s="12">
        <v>4</v>
      </c>
      <c r="H27" s="12"/>
      <c r="I27" s="12">
        <v>1</v>
      </c>
      <c r="J27" s="12">
        <v>3</v>
      </c>
      <c r="K27" s="12"/>
      <c r="L27" s="12"/>
      <c r="M27" s="12">
        <v>1</v>
      </c>
      <c r="N27" s="12">
        <v>-5</v>
      </c>
      <c r="O27" s="12">
        <v>0</v>
      </c>
      <c r="P27" s="12">
        <v>2</v>
      </c>
      <c r="Q27" s="6"/>
    </row>
    <row r="28" spans="1:17" ht="33" x14ac:dyDescent="0.3">
      <c r="A28" s="12" t="s">
        <v>561</v>
      </c>
      <c r="B28" s="6">
        <v>3</v>
      </c>
      <c r="C28" s="12" t="s">
        <v>562</v>
      </c>
      <c r="D28" s="12">
        <v>0</v>
      </c>
      <c r="E28" s="15" t="s">
        <v>563</v>
      </c>
      <c r="F28" s="12">
        <v>1</v>
      </c>
      <c r="G28" s="12">
        <v>1</v>
      </c>
      <c r="H28" s="12">
        <v>0</v>
      </c>
      <c r="I28" s="12">
        <v>2</v>
      </c>
      <c r="J28" s="12">
        <v>3</v>
      </c>
      <c r="K28" s="12">
        <v>3</v>
      </c>
      <c r="L28" s="12">
        <v>2</v>
      </c>
      <c r="M28" s="12">
        <v>5</v>
      </c>
      <c r="N28" s="12">
        <v>1</v>
      </c>
      <c r="O28" s="12">
        <v>3</v>
      </c>
      <c r="P28" s="12">
        <v>2</v>
      </c>
      <c r="Q28" s="6"/>
    </row>
    <row r="29" spans="1:17" ht="33" x14ac:dyDescent="0.3">
      <c r="A29" s="12" t="s">
        <v>564</v>
      </c>
      <c r="B29" s="6">
        <v>3</v>
      </c>
      <c r="C29" s="12" t="s">
        <v>565</v>
      </c>
      <c r="D29" s="12">
        <v>3</v>
      </c>
      <c r="E29" s="15" t="s">
        <v>566</v>
      </c>
      <c r="F29" s="12">
        <v>1</v>
      </c>
      <c r="G29" s="12">
        <v>1</v>
      </c>
      <c r="H29" s="12">
        <v>0</v>
      </c>
      <c r="I29" s="12">
        <v>1</v>
      </c>
      <c r="J29" s="12">
        <v>3</v>
      </c>
      <c r="K29" s="12"/>
      <c r="L29" s="12"/>
      <c r="M29" s="12">
        <v>2</v>
      </c>
      <c r="N29" s="12">
        <v>1</v>
      </c>
      <c r="O29" s="12">
        <v>0</v>
      </c>
      <c r="P29" s="12">
        <v>1</v>
      </c>
      <c r="Q29" s="6"/>
    </row>
    <row r="30" spans="1:17" ht="33" x14ac:dyDescent="0.3">
      <c r="A30" s="12" t="s">
        <v>567</v>
      </c>
      <c r="B30" s="6">
        <v>3</v>
      </c>
      <c r="C30" s="12" t="s">
        <v>568</v>
      </c>
      <c r="D30" s="12">
        <v>1</v>
      </c>
      <c r="E30" s="15" t="s">
        <v>569</v>
      </c>
      <c r="F30" s="12">
        <v>0</v>
      </c>
      <c r="G30" s="12">
        <v>4</v>
      </c>
      <c r="H30" s="12"/>
      <c r="I30" s="12">
        <v>0</v>
      </c>
      <c r="J30" s="12">
        <v>300</v>
      </c>
      <c r="K30" s="12"/>
      <c r="L30" s="12"/>
      <c r="M30" s="12">
        <v>0</v>
      </c>
      <c r="N30" s="12">
        <v>1</v>
      </c>
      <c r="O30" s="12" t="s">
        <v>43</v>
      </c>
      <c r="P30" s="12" t="s">
        <v>43</v>
      </c>
      <c r="Q30" s="6"/>
    </row>
    <row r="31" spans="1:17" ht="33" x14ac:dyDescent="0.3">
      <c r="A31" s="12" t="s">
        <v>570</v>
      </c>
      <c r="B31" s="6">
        <v>3</v>
      </c>
      <c r="C31" s="12" t="s">
        <v>571</v>
      </c>
      <c r="D31" s="12">
        <v>0</v>
      </c>
      <c r="E31" s="15" t="s">
        <v>572</v>
      </c>
      <c r="F31" s="12">
        <v>1</v>
      </c>
      <c r="G31" s="12">
        <v>1</v>
      </c>
      <c r="H31" s="12">
        <v>0</v>
      </c>
      <c r="I31" s="12">
        <v>0</v>
      </c>
      <c r="J31" s="12">
        <v>500</v>
      </c>
      <c r="K31" s="12"/>
      <c r="L31" s="12"/>
      <c r="M31" s="12">
        <v>4</v>
      </c>
      <c r="N31" s="12">
        <v>1</v>
      </c>
      <c r="O31" s="12">
        <v>1</v>
      </c>
      <c r="P31" s="12">
        <v>-4</v>
      </c>
      <c r="Q31" s="6"/>
    </row>
    <row r="32" spans="1:17" ht="33" x14ac:dyDescent="0.3">
      <c r="A32" s="12" t="s">
        <v>573</v>
      </c>
      <c r="B32" s="6">
        <v>3</v>
      </c>
      <c r="C32" s="12" t="s">
        <v>574</v>
      </c>
      <c r="D32" s="12">
        <v>3</v>
      </c>
      <c r="E32" s="15" t="s">
        <v>575</v>
      </c>
      <c r="F32" s="12">
        <v>0</v>
      </c>
      <c r="G32" s="12">
        <v>4</v>
      </c>
      <c r="H32" s="12"/>
      <c r="I32" s="12">
        <v>0</v>
      </c>
      <c r="J32" s="12">
        <v>700</v>
      </c>
      <c r="K32" s="12">
        <v>3</v>
      </c>
      <c r="L32" s="12">
        <v>2</v>
      </c>
      <c r="M32" s="12">
        <v>1</v>
      </c>
      <c r="N32" s="12">
        <v>12</v>
      </c>
      <c r="O32" s="12">
        <v>0</v>
      </c>
      <c r="P32" s="12">
        <v>1</v>
      </c>
      <c r="Q32" s="6"/>
    </row>
    <row r="33" spans="1:17" ht="33" x14ac:dyDescent="0.3">
      <c r="A33" s="12" t="s">
        <v>576</v>
      </c>
      <c r="B33" s="6">
        <v>4</v>
      </c>
      <c r="C33" s="12" t="s">
        <v>577</v>
      </c>
      <c r="D33" s="12">
        <v>0</v>
      </c>
      <c r="E33" s="15" t="s">
        <v>578</v>
      </c>
      <c r="F33" s="12">
        <v>0</v>
      </c>
      <c r="G33" s="12">
        <v>4</v>
      </c>
      <c r="H33" s="12"/>
      <c r="I33" s="12">
        <v>3</v>
      </c>
      <c r="J33" s="12">
        <v>4</v>
      </c>
      <c r="K33" s="12"/>
      <c r="L33" s="12"/>
      <c r="M33" s="12">
        <v>1</v>
      </c>
      <c r="N33" s="12">
        <v>-8</v>
      </c>
      <c r="O33" s="12">
        <v>0</v>
      </c>
      <c r="P33" s="12">
        <v>3</v>
      </c>
      <c r="Q33" s="6"/>
    </row>
    <row r="34" spans="1:17" ht="33" x14ac:dyDescent="0.3">
      <c r="A34" s="12" t="s">
        <v>579</v>
      </c>
      <c r="B34" s="6">
        <v>4</v>
      </c>
      <c r="C34" s="12" t="s">
        <v>580</v>
      </c>
      <c r="D34" s="12">
        <v>1</v>
      </c>
      <c r="E34" s="15" t="s">
        <v>581</v>
      </c>
      <c r="F34" s="12">
        <v>1</v>
      </c>
      <c r="G34" s="12">
        <v>1</v>
      </c>
      <c r="H34" s="12">
        <v>0</v>
      </c>
      <c r="I34" s="12">
        <v>2</v>
      </c>
      <c r="J34" s="12">
        <v>3</v>
      </c>
      <c r="K34" s="12"/>
      <c r="L34" s="12"/>
      <c r="M34" s="12">
        <v>2</v>
      </c>
      <c r="N34" s="12">
        <v>1</v>
      </c>
      <c r="O34" s="12">
        <v>5</v>
      </c>
      <c r="P34" s="12">
        <v>1</v>
      </c>
      <c r="Q34" s="6"/>
    </row>
    <row r="35" spans="1:17" ht="33" x14ac:dyDescent="0.3">
      <c r="A35" s="12" t="s">
        <v>582</v>
      </c>
      <c r="B35" s="6">
        <v>4</v>
      </c>
      <c r="C35" s="12" t="s">
        <v>583</v>
      </c>
      <c r="D35" s="12">
        <v>0</v>
      </c>
      <c r="E35" s="15" t="s">
        <v>584</v>
      </c>
      <c r="F35" s="12">
        <v>0</v>
      </c>
      <c r="G35" s="12">
        <v>4</v>
      </c>
      <c r="H35" s="12"/>
      <c r="I35" s="12">
        <v>1</v>
      </c>
      <c r="J35" s="12">
        <v>3</v>
      </c>
      <c r="K35" s="12"/>
      <c r="L35" s="12"/>
      <c r="M35" s="12">
        <v>1</v>
      </c>
      <c r="N35" s="12">
        <v>-6</v>
      </c>
      <c r="O35" s="12">
        <v>0</v>
      </c>
      <c r="P35" s="12">
        <v>3</v>
      </c>
      <c r="Q35" s="6"/>
    </row>
    <row r="36" spans="1:17" ht="33" x14ac:dyDescent="0.3">
      <c r="A36" s="12" t="s">
        <v>585</v>
      </c>
      <c r="B36" s="6">
        <v>4</v>
      </c>
      <c r="C36" s="12" t="s">
        <v>586</v>
      </c>
      <c r="D36" s="12">
        <v>1</v>
      </c>
      <c r="E36" s="15" t="s">
        <v>587</v>
      </c>
      <c r="F36" s="12">
        <v>1</v>
      </c>
      <c r="G36" s="12">
        <v>1</v>
      </c>
      <c r="H36" s="12">
        <v>0</v>
      </c>
      <c r="I36" s="12">
        <v>3</v>
      </c>
      <c r="J36" s="12">
        <v>3</v>
      </c>
      <c r="K36" s="12"/>
      <c r="L36" s="12"/>
      <c r="M36" s="12">
        <v>5</v>
      </c>
      <c r="N36" s="12">
        <v>1</v>
      </c>
      <c r="O36" s="12" t="s">
        <v>43</v>
      </c>
      <c r="P36" s="12" t="s">
        <v>43</v>
      </c>
      <c r="Q36" s="6"/>
    </row>
    <row r="37" spans="1:17" ht="33" x14ac:dyDescent="0.3">
      <c r="A37" s="12" t="s">
        <v>588</v>
      </c>
      <c r="B37" s="6">
        <v>4</v>
      </c>
      <c r="C37" s="12" t="s">
        <v>589</v>
      </c>
      <c r="D37" s="12">
        <v>4</v>
      </c>
      <c r="E37" s="15" t="s">
        <v>590</v>
      </c>
      <c r="F37" s="12">
        <v>0</v>
      </c>
      <c r="G37" s="12">
        <v>4</v>
      </c>
      <c r="H37" s="12"/>
      <c r="I37" s="12">
        <v>0</v>
      </c>
      <c r="J37" s="12">
        <v>700</v>
      </c>
      <c r="K37" s="12"/>
      <c r="L37" s="12"/>
      <c r="M37" s="12">
        <v>1</v>
      </c>
      <c r="N37" s="12">
        <v>-7</v>
      </c>
      <c r="O37" s="12">
        <v>0</v>
      </c>
      <c r="P37" s="12">
        <v>5</v>
      </c>
      <c r="Q37" s="6"/>
    </row>
    <row r="38" spans="1:17" ht="33" x14ac:dyDescent="0.3">
      <c r="A38" s="12" t="s">
        <v>591</v>
      </c>
      <c r="B38" s="6">
        <v>4</v>
      </c>
      <c r="C38" s="12" t="s">
        <v>592</v>
      </c>
      <c r="D38" s="12">
        <v>0</v>
      </c>
      <c r="E38" s="15" t="s">
        <v>593</v>
      </c>
      <c r="F38" s="12">
        <v>1</v>
      </c>
      <c r="G38" s="12">
        <v>1</v>
      </c>
      <c r="H38" s="12">
        <v>0</v>
      </c>
      <c r="I38" s="12">
        <v>2</v>
      </c>
      <c r="J38" s="12">
        <v>3</v>
      </c>
      <c r="K38" s="12">
        <v>3</v>
      </c>
      <c r="L38" s="12">
        <v>3</v>
      </c>
      <c r="M38" s="12">
        <v>4</v>
      </c>
      <c r="N38" s="12">
        <v>1</v>
      </c>
      <c r="O38" s="12">
        <v>2</v>
      </c>
      <c r="P38" s="12">
        <v>1</v>
      </c>
      <c r="Q38" s="6"/>
    </row>
    <row r="39" spans="1:17" ht="33" x14ac:dyDescent="0.3">
      <c r="A39" s="12" t="s">
        <v>594</v>
      </c>
      <c r="B39" s="6">
        <v>4</v>
      </c>
      <c r="C39" s="12" t="s">
        <v>595</v>
      </c>
      <c r="D39" s="12">
        <v>1</v>
      </c>
      <c r="E39" s="15" t="s">
        <v>596</v>
      </c>
      <c r="F39" s="12">
        <v>0</v>
      </c>
      <c r="G39" s="12">
        <v>4</v>
      </c>
      <c r="H39" s="12"/>
      <c r="I39" s="12">
        <v>0</v>
      </c>
      <c r="J39" s="12">
        <v>500</v>
      </c>
      <c r="K39" s="12">
        <v>2</v>
      </c>
      <c r="L39" s="12">
        <v>2</v>
      </c>
      <c r="M39" s="12">
        <v>0</v>
      </c>
      <c r="N39" s="12">
        <v>4</v>
      </c>
      <c r="O39" s="12">
        <v>1</v>
      </c>
      <c r="P39" s="12">
        <v>5</v>
      </c>
      <c r="Q39" s="6"/>
    </row>
    <row r="40" spans="1:17" ht="33" x14ac:dyDescent="0.3">
      <c r="A40" s="12" t="s">
        <v>597</v>
      </c>
      <c r="B40" s="6">
        <v>4</v>
      </c>
      <c r="C40" s="12" t="s">
        <v>598</v>
      </c>
      <c r="D40" s="12">
        <v>3</v>
      </c>
      <c r="E40" s="15" t="s">
        <v>599</v>
      </c>
      <c r="F40" s="12">
        <v>1</v>
      </c>
      <c r="G40" s="12">
        <v>1</v>
      </c>
      <c r="H40" s="12">
        <v>0</v>
      </c>
      <c r="I40" s="12">
        <v>1</v>
      </c>
      <c r="J40" s="12">
        <v>4</v>
      </c>
      <c r="K40" s="12"/>
      <c r="L40" s="12"/>
      <c r="M40" s="12">
        <v>4</v>
      </c>
      <c r="N40" s="12">
        <v>1</v>
      </c>
      <c r="O40" s="12">
        <v>5</v>
      </c>
      <c r="P40" s="12">
        <v>1</v>
      </c>
      <c r="Q40" s="6"/>
    </row>
    <row r="41" spans="1:17" ht="33" x14ac:dyDescent="0.3">
      <c r="A41" s="12" t="s">
        <v>600</v>
      </c>
      <c r="B41" s="6">
        <v>4</v>
      </c>
      <c r="C41" s="12" t="s">
        <v>601</v>
      </c>
      <c r="D41" s="12">
        <v>0</v>
      </c>
      <c r="E41" s="15" t="s">
        <v>602</v>
      </c>
      <c r="F41" s="12">
        <v>1</v>
      </c>
      <c r="G41" s="12">
        <v>1</v>
      </c>
      <c r="H41" s="12">
        <v>0</v>
      </c>
      <c r="I41" s="12">
        <v>2</v>
      </c>
      <c r="J41" s="12">
        <v>4</v>
      </c>
      <c r="K41" s="12"/>
      <c r="L41" s="12"/>
      <c r="M41" s="12">
        <v>3</v>
      </c>
      <c r="N41" s="12">
        <v>4</v>
      </c>
      <c r="O41" s="12">
        <v>5</v>
      </c>
      <c r="P41" s="12">
        <v>1</v>
      </c>
      <c r="Q41" s="6"/>
    </row>
    <row r="42" spans="1:17" ht="33" x14ac:dyDescent="0.3">
      <c r="A42" s="12" t="s">
        <v>603</v>
      </c>
      <c r="B42" s="6">
        <v>4</v>
      </c>
      <c r="C42" s="12" t="s">
        <v>604</v>
      </c>
      <c r="D42" s="12">
        <v>3</v>
      </c>
      <c r="E42" s="15" t="s">
        <v>605</v>
      </c>
      <c r="F42" s="12">
        <v>0</v>
      </c>
      <c r="G42" s="12">
        <v>4</v>
      </c>
      <c r="H42" s="12"/>
      <c r="I42" s="12">
        <v>0</v>
      </c>
      <c r="J42" s="13">
        <v>0</v>
      </c>
      <c r="K42" s="12"/>
      <c r="L42" s="12"/>
      <c r="M42" s="12">
        <v>0</v>
      </c>
      <c r="N42" s="12">
        <v>5</v>
      </c>
      <c r="O42" s="12"/>
      <c r="P42" s="12"/>
      <c r="Q4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문서 개요</vt:lpstr>
      <vt:lpstr>이벤트 필드 정의</vt:lpstr>
      <vt:lpstr>소비형 (NPC형)</vt:lpstr>
      <vt:lpstr>소비형 (조건형)</vt:lpstr>
      <vt:lpstr>소비형 (결과)</vt:lpstr>
      <vt:lpstr>보상형 (NPC형)</vt:lpstr>
      <vt:lpstr>보상형 (조건형)</vt:lpstr>
      <vt:lpstr>선택형 (NPC형)</vt:lpstr>
      <vt:lpstr>선택형 (조건형)</vt:lpstr>
      <vt:lpstr>선택형 (선택지)</vt:lpstr>
      <vt:lpstr>선택형 (선택결과)</vt:lpstr>
      <vt:lpstr>획득 계산기</vt:lpstr>
      <vt:lpstr>월드 이벤트(원본)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윤태일</cp:lastModifiedBy>
  <dcterms:modified xsi:type="dcterms:W3CDTF">2026-10-14T07:06:59Z</dcterms:modified>
</cp:coreProperties>
</file>