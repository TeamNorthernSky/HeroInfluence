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A11D4D-9365-4CBA-B43D-1CF05F345E2B}" xr6:coauthVersionLast="47" xr6:coauthVersionMax="47" xr10:uidLastSave="{00000000-0000-0000-0000-000000000000}"/>
  <bookViews>
    <workbookView xWindow="38280" yWindow="-120" windowWidth="38640" windowHeight="21120" tabRatio="801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9" l="1"/>
  <c r="T7" i="39" s="1"/>
  <c r="V7" i="39" s="1"/>
  <c r="X7" i="39" s="1"/>
  <c r="R8" i="39"/>
  <c r="T8" i="39" s="1"/>
  <c r="V8" i="39" s="1"/>
  <c r="X8" i="39" s="1"/>
  <c r="R11" i="39"/>
  <c r="T11" i="39" s="1"/>
  <c r="V11" i="39" s="1"/>
  <c r="X11" i="39" s="1"/>
  <c r="R12" i="39"/>
  <c r="T12" i="39" s="1"/>
  <c r="V12" i="39" s="1"/>
  <c r="X12" i="39" s="1"/>
  <c r="R15" i="39"/>
  <c r="T15" i="39" s="1"/>
  <c r="V15" i="39" s="1"/>
  <c r="X15" i="39" s="1"/>
  <c r="R17" i="39"/>
  <c r="T17" i="39" s="1"/>
  <c r="V17" i="39" s="1"/>
  <c r="X17" i="39" s="1"/>
  <c r="R19" i="39"/>
  <c r="T19" i="39" s="1"/>
  <c r="V19" i="39" s="1"/>
  <c r="X19" i="39" s="1"/>
  <c r="R21" i="39"/>
  <c r="T21" i="39" s="1"/>
  <c r="V21" i="39" s="1"/>
  <c r="X21" i="39" s="1"/>
  <c r="R23" i="39"/>
  <c r="T23" i="39" s="1"/>
  <c r="V23" i="39" s="1"/>
  <c r="X23" i="39" s="1"/>
  <c r="R24" i="39"/>
  <c r="T24" i="39" s="1"/>
  <c r="V24" i="39" s="1"/>
  <c r="X24" i="39" s="1"/>
  <c r="R25" i="39"/>
  <c r="T25" i="39" s="1"/>
  <c r="V25" i="39" s="1"/>
  <c r="X25" i="39" s="1"/>
  <c r="R27" i="39"/>
  <c r="T27" i="39" s="1"/>
  <c r="V27" i="39" s="1"/>
  <c r="X27" i="39" s="1"/>
  <c r="R28" i="39"/>
  <c r="T28" i="39" s="1"/>
  <c r="V28" i="39" s="1"/>
  <c r="X28" i="39" s="1"/>
  <c r="R29" i="39"/>
  <c r="T29" i="39" s="1"/>
  <c r="V29" i="39" s="1"/>
  <c r="X29" i="39" s="1"/>
  <c r="R32" i="39"/>
  <c r="T32" i="39" s="1"/>
  <c r="V32" i="39" s="1"/>
  <c r="X32" i="39" s="1"/>
  <c r="R33" i="39"/>
  <c r="T33" i="39" s="1"/>
  <c r="V33" i="39" s="1"/>
  <c r="X33" i="39" s="1"/>
  <c r="R36" i="39"/>
  <c r="T36" i="39" s="1"/>
  <c r="V36" i="39" s="1"/>
  <c r="X36" i="39" s="1"/>
  <c r="R37" i="39"/>
  <c r="T37" i="39" s="1"/>
  <c r="V37" i="39" s="1"/>
  <c r="X37" i="39" s="1"/>
  <c r="Q7" i="39"/>
  <c r="S7" i="39" s="1"/>
  <c r="U7" i="39" s="1"/>
  <c r="W7" i="39" s="1"/>
  <c r="Q8" i="39"/>
  <c r="S8" i="39" s="1"/>
  <c r="U8" i="39" s="1"/>
  <c r="W8" i="39" s="1"/>
  <c r="Q9" i="39"/>
  <c r="S9" i="39" s="1"/>
  <c r="U9" i="39" s="1"/>
  <c r="W9" i="39" s="1"/>
  <c r="Q10" i="39"/>
  <c r="S10" i="39" s="1"/>
  <c r="U10" i="39" s="1"/>
  <c r="W10" i="39" s="1"/>
  <c r="Q11" i="39"/>
  <c r="S11" i="39" s="1"/>
  <c r="U11" i="39" s="1"/>
  <c r="W11" i="39" s="1"/>
  <c r="Q12" i="39"/>
  <c r="S12" i="39" s="1"/>
  <c r="U12" i="39" s="1"/>
  <c r="W12" i="39" s="1"/>
  <c r="Q13" i="39"/>
  <c r="S13" i="39" s="1"/>
  <c r="U13" i="39" s="1"/>
  <c r="W13" i="39" s="1"/>
  <c r="Q14" i="39"/>
  <c r="S14" i="39" s="1"/>
  <c r="U14" i="39" s="1"/>
  <c r="W14" i="39" s="1"/>
  <c r="Q15" i="39"/>
  <c r="S15" i="39" s="1"/>
  <c r="U15" i="39" s="1"/>
  <c r="W15" i="39" s="1"/>
  <c r="Q16" i="39"/>
  <c r="S16" i="39" s="1"/>
  <c r="U16" i="39" s="1"/>
  <c r="W16" i="39" s="1"/>
  <c r="Q17" i="39"/>
  <c r="S17" i="39" s="1"/>
  <c r="U17" i="39" s="1"/>
  <c r="W17" i="39" s="1"/>
  <c r="Q18" i="39"/>
  <c r="S18" i="39" s="1"/>
  <c r="U18" i="39" s="1"/>
  <c r="W18" i="39" s="1"/>
  <c r="Q19" i="39"/>
  <c r="S19" i="39" s="1"/>
  <c r="U19" i="39" s="1"/>
  <c r="W19" i="39" s="1"/>
  <c r="Q20" i="39"/>
  <c r="S20" i="39" s="1"/>
  <c r="U20" i="39" s="1"/>
  <c r="W20" i="39" s="1"/>
  <c r="Q21" i="39"/>
  <c r="S21" i="39" s="1"/>
  <c r="U21" i="39" s="1"/>
  <c r="W21" i="39" s="1"/>
  <c r="Q22" i="39"/>
  <c r="S22" i="39" s="1"/>
  <c r="U22" i="39" s="1"/>
  <c r="W22" i="39" s="1"/>
  <c r="Q23" i="39"/>
  <c r="S23" i="39" s="1"/>
  <c r="U23" i="39" s="1"/>
  <c r="W23" i="39" s="1"/>
  <c r="Q24" i="39"/>
  <c r="S24" i="39" s="1"/>
  <c r="U24" i="39" s="1"/>
  <c r="W24" i="39" s="1"/>
  <c r="Q25" i="39"/>
  <c r="S25" i="39" s="1"/>
  <c r="U25" i="39" s="1"/>
  <c r="W25" i="39" s="1"/>
  <c r="Q26" i="39"/>
  <c r="S26" i="39" s="1"/>
  <c r="U26" i="39" s="1"/>
  <c r="W26" i="39" s="1"/>
  <c r="Q27" i="39"/>
  <c r="S27" i="39" s="1"/>
  <c r="U27" i="39" s="1"/>
  <c r="W27" i="39" s="1"/>
  <c r="Q28" i="39"/>
  <c r="S28" i="39" s="1"/>
  <c r="U28" i="39" s="1"/>
  <c r="W28" i="39" s="1"/>
  <c r="Q29" i="39"/>
  <c r="S29" i="39" s="1"/>
  <c r="U29" i="39" s="1"/>
  <c r="W29" i="39" s="1"/>
  <c r="Q30" i="39"/>
  <c r="S30" i="39" s="1"/>
  <c r="U30" i="39" s="1"/>
  <c r="W30" i="39" s="1"/>
  <c r="Q31" i="39"/>
  <c r="S31" i="39" s="1"/>
  <c r="U31" i="39" s="1"/>
  <c r="W31" i="39" s="1"/>
  <c r="Q32" i="39"/>
  <c r="S32" i="39" s="1"/>
  <c r="U32" i="39" s="1"/>
  <c r="W32" i="39" s="1"/>
  <c r="Q33" i="39"/>
  <c r="S33" i="39" s="1"/>
  <c r="U33" i="39" s="1"/>
  <c r="W33" i="39" s="1"/>
  <c r="Q34" i="39"/>
  <c r="S34" i="39" s="1"/>
  <c r="U34" i="39" s="1"/>
  <c r="W34" i="39" s="1"/>
  <c r="Q35" i="39"/>
  <c r="S35" i="39" s="1"/>
  <c r="U35" i="39" s="1"/>
  <c r="W35" i="39" s="1"/>
  <c r="Q36" i="39"/>
  <c r="S36" i="39" s="1"/>
  <c r="U36" i="39" s="1"/>
  <c r="W36" i="39" s="1"/>
  <c r="Q37" i="39"/>
  <c r="S37" i="39" s="1"/>
  <c r="U37" i="39" s="1"/>
  <c r="W37" i="39" s="1"/>
  <c r="Q6" i="39"/>
  <c r="S6" i="39" s="1"/>
  <c r="U6" i="39" s="1"/>
  <c r="W6" i="39" s="1"/>
  <c r="AL10" i="40" l="1"/>
  <c r="AN10" i="40" s="1"/>
  <c r="AP10" i="40" s="1"/>
  <c r="AR10" i="40" s="1"/>
  <c r="AL9" i="40"/>
  <c r="AN9" i="40" s="1"/>
  <c r="AP9" i="40" s="1"/>
  <c r="AR9" i="40" s="1"/>
  <c r="AL8" i="40"/>
  <c r="AN8" i="40" s="1"/>
  <c r="AP8" i="40" s="1"/>
  <c r="AR8" i="40" s="1"/>
  <c r="AL7" i="40"/>
  <c r="AN7" i="40" s="1"/>
  <c r="AP7" i="40" s="1"/>
  <c r="AR7" i="40" s="1"/>
  <c r="AL6" i="40"/>
  <c r="AN6" i="40" s="1"/>
  <c r="AP6" i="40" s="1"/>
  <c r="AR6" i="40" s="1"/>
</calcChain>
</file>

<file path=xl/sharedStrings.xml><?xml version="1.0" encoding="utf-8"?>
<sst xmlns="http://schemas.openxmlformats.org/spreadsheetml/2006/main" count="979" uniqueCount="587">
  <si>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</si>
  <si>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</si>
  <si>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</si>
  <si>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</si>
  <si>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</si>
  <si>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</si>
  <si>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</si>
  <si>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</si>
  <si>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</si>
  <si>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</si>
  <si>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</si>
  <si>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</si>
  <si>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</si>
  <si>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</si>
  <si>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</si>
  <si>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</si>
  <si>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</si>
  <si>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</si>
  <si>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</si>
  <si>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</si>
  <si>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</si>
  <si>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</si>
  <si>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</si>
  <si>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</si>
  <si>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</si>
  <si>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</si>
  <si>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</si>
  <si>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</si>
  <si>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</si>
  <si>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</si>
  <si>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</si>
  <si>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</si>
  <si>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</si>
  <si>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</si>
  <si>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</si>
  <si>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</si>
  <si>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</si>
  <si>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</si>
  <si>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</si>
  <si>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</si>
  <si>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</si>
  <si>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</si>
  <si>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</si>
  <si>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</si>
  <si>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</si>
  <si>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</si>
  <si>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</si>
  <si>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</si>
  <si>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</si>
  <si>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</si>
  <si>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</si>
  <si>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</si>
  <si>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</si>
  <si>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</si>
  <si>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</si>
  <si>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</si>
  <si>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</si>
  <si>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</si>
  <si>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</si>
  <si>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</si>
  <si>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</si>
  <si>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</si>
  <si>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</si>
  <si>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</si>
  <si>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</si>
  <si>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</si>
  <si>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</si>
  <si>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</si>
  <si>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</si>
  <si>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</si>
  <si>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</si>
  <si>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</si>
  <si>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</si>
  <si>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</si>
  <si>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</si>
  <si>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</si>
  <si>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</si>
  <si>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</si>
  <si>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</si>
  <si>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</si>
  <si>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</si>
  <si>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</si>
  <si>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</si>
  <si>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</si>
  <si>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</si>
  <si>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</si>
  <si>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</si>
  <si>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</si>
  <si>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</si>
  <si>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</si>
  <si>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</si>
  <si>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</si>
  <si>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</si>
  <si>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</si>
  <si>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</si>
  <si>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</si>
  <si>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</si>
  <si>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</si>
  <si>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</si>
  <si>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</si>
  <si>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</si>
  <si>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</si>
  <si>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</si>
  <si>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</si>
  <si>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</si>
  <si>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</si>
  <si>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</si>
  <si>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</si>
  <si>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</si>
  <si>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</si>
  <si>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</si>
  <si>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</si>
  <si>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</si>
  <si>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</si>
  <si>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</si>
  <si>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</si>
  <si>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</si>
  <si>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</si>
  <si>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</si>
  <si>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</si>
  <si>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</si>
  <si>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</si>
  <si>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</si>
  <si>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</si>
  <si>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</si>
  <si>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</si>
  <si>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</si>
  <si>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</si>
  <si>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</si>
  <si>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</si>
  <si>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</si>
  <si>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</si>
  <si>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</si>
  <si>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</si>
  <si>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</si>
  <si>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</si>
  <si>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</si>
  <si>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</si>
  <si>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</si>
  <si>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</si>
  <si>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</si>
  <si>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</si>
  <si>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</si>
  <si>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</si>
  <si>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</si>
  <si>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</si>
  <si>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</si>
  <si>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</si>
  <si>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</si>
  <si>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</si>
  <si>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</si>
  <si>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</si>
  <si>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</si>
  <si>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</si>
  <si>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</si>
  <si>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</si>
  <si>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</si>
  <si>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</si>
  <si>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</si>
  <si>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</si>
  <si>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</si>
  <si>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</si>
  <si>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</si>
  <si>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</si>
  <si>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</si>
  <si>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</si>
  <si>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</si>
  <si>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</si>
  <si>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</si>
  <si>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</si>
  <si>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</si>
  <si>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</si>
  <si>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</si>
  <si>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</si>
  <si>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</si>
  <si>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</si>
  <si>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</si>
  <si>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</si>
  <si>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</si>
  <si>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</si>
  <si>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</si>
  <si>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</si>
  <si>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</si>
  <si>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</si>
  <si>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</si>
  <si>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</si>
  <si>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</si>
  <si>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</si>
  <si>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</si>
  <si>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</si>
  <si>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</si>
  <si>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</si>
  <si>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</si>
  <si>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</si>
  <si>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</si>
  <si>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</si>
  <si>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</si>
  <si>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</si>
  <si>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</si>
  <si>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</si>
  <si>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</si>
  <si>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</si>
  <si>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</si>
  <si>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</si>
  <si>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</si>
  <si>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</si>
  <si>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</si>
  <si>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</si>
  <si>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</si>
  <si>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</si>
  <si>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</si>
  <si>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</si>
  <si>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</si>
  <si>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</si>
  <si>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</si>
  <si>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</si>
  <si>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</si>
  <si>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</si>
  <si>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</si>
  <si>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</si>
  <si>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</si>
  <si>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</si>
  <si>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</si>
  <si>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</si>
  <si>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</si>
  <si>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</si>
  <si>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</si>
  <si>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</si>
  <si>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</si>
  <si>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</si>
  <si>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</si>
  <si>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</si>
  <si>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</si>
  <si>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</si>
  <si>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</si>
  <si>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</si>
  <si>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</si>
  <si>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</si>
  <si>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</si>
  <si>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</si>
  <si>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</si>
  <si>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</si>
  <si>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</si>
  <si>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</si>
  <si>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</si>
  <si>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</si>
  <si>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</si>
  <si>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</si>
  <si>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</si>
  <si>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</si>
  <si>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</si>
  <si>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</si>
  <si>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</si>
  <si>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</si>
  <si>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</si>
  <si>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</si>
  <si>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</si>
  <si>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</si>
  <si>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</si>
  <si>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</si>
  <si>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</si>
  <si>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</si>
  <si>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</si>
  <si>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</si>
  <si>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</si>
  <si>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</si>
  <si>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</si>
  <si>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</si>
  <si>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</si>
  <si>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</si>
  <si>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</si>
  <si>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</si>
  <si>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</si>
  <si>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</si>
  <si>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</si>
  <si>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</si>
  <si>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</si>
  <si>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</si>
  <si>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</si>
  <si>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</si>
  <si>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</si>
  <si>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</si>
  <si>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</si>
  <si>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</si>
  <si>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</si>
  <si>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</si>
  <si>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</si>
  <si>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</si>
  <si>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</si>
  <si>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</si>
  <si>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</si>
  <si>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</si>
  <si>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</si>
  <si>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</si>
  <si>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</si>
  <si>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</si>
  <si>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</si>
  <si>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</si>
  <si>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</si>
  <si>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</si>
  <si>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</si>
  <si>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</si>
  <si>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</si>
  <si>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</si>
  <si>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</si>
  <si>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</si>
  <si>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</si>
  <si>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</si>
  <si>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</si>
  <si>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</si>
  <si>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</si>
  <si>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</si>
  <si>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</si>
  <si>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</si>
  <si>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</si>
  <si>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</si>
  <si>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</si>
  <si>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</si>
  <si>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</si>
  <si>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</si>
  <si>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</si>
  <si>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</si>
  <si>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</si>
  <si>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</si>
  <si>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</si>
  <si>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</si>
  <si>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</si>
  <si>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</si>
  <si>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</si>
  <si>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</si>
  <si>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</si>
  <si>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</si>
  <si>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</si>
  <si>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</si>
  <si>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</si>
  <si>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</si>
  <si>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</si>
  <si>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</si>
  <si>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</si>
  <si>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</si>
  <si>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  <phoneticPr fontId="1" type="noConversion"/>
  </si>
  <si>
    <t>HS2011</t>
    <phoneticPr fontId="1" type="noConversion"/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</si>
  <si>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</si>
  <si>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</si>
  <si>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</si>
  <si>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</si>
  <si>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</si>
  <si>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</si>
  <si>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</si>
  <si>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</si>
  <si>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</si>
  <si>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</si>
  <si>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</si>
  <si>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</si>
  <si>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</si>
  <si>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</si>
  <si>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</si>
  <si>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</si>
  <si>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</si>
  <si>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</si>
  <si>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</si>
  <si>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</si>
  <si>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</si>
  <si>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</si>
  <si>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</si>
  <si>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</si>
  <si>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</si>
  <si>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</si>
  <si>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</si>
  <si>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</si>
  <si>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</si>
  <si>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</si>
  <si>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</si>
  <si>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</si>
  <si>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</si>
  <si>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</si>
  <si>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</si>
  <si>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</si>
  <si>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</si>
  <si>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</si>
  <si>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</si>
  <si>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</si>
  <si>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</si>
  <si>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</si>
  <si>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</si>
  <si>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</si>
  <si>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</si>
  <si>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</si>
  <si>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</si>
  <si>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</si>
  <si>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</si>
  <si>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</si>
  <si>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</si>
  <si>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</si>
  <si>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</si>
  <si>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</si>
  <si>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</si>
  <si>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</si>
  <si>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</si>
  <si>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</si>
  <si>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</si>
  <si>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</si>
  <si>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</si>
  <si>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</si>
  <si>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</si>
  <si>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</si>
  <si>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</si>
  <si>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</si>
  <si>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</si>
  <si>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</si>
  <si>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</si>
  <si>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</si>
  <si>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</si>
  <si>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</si>
  <si>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</si>
  <si>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</si>
  <si>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</si>
  <si>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</si>
  <si>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</si>
  <si>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</si>
  <si>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</si>
  <si>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</si>
  <si>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</si>
  <si>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</si>
  <si>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</si>
  <si>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</si>
  <si>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</si>
  <si>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</si>
  <si>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</si>
  <si>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</si>
  <si>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</si>
  <si>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</si>
  <si>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</si>
  <si>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</si>
  <si>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</si>
  <si>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방패 치기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</si>
  <si>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</si>
  <si>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</si>
  <si>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</si>
  <si>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</si>
  <si>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</si>
  <si>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</si>
  <si>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</si>
  <si>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</si>
  <si>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</si>
  <si>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</si>
  <si>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</si>
  <si>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</si>
  <si>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</si>
  <si>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</si>
  <si>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</si>
  <si>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</si>
  <si>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</si>
  <si>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</si>
  <si>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</si>
  <si>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</si>
  <si>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Enemy6</t>
    <phoneticPr fontId="1" type="noConversion"/>
  </si>
  <si>
    <t>FV20005</t>
    <phoneticPr fontId="1" type="noConversion"/>
  </si>
  <si>
    <t>빌런연합 강화병</t>
    <phoneticPr fontId="1" type="noConversion"/>
  </si>
  <si>
    <t>흔한 원거리 병졸</t>
    <phoneticPr fontId="1" type="noConversion"/>
  </si>
  <si>
    <t>Enemy6Slot</t>
    <phoneticPr fontId="5" type="noConversion"/>
  </si>
  <si>
    <t>FV20001</t>
  </si>
  <si>
    <t>대체 스킬</t>
    <phoneticPr fontId="1" type="noConversion"/>
  </si>
  <si>
    <t>리스크(보류)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</si>
  <si>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</si>
  <si>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</si>
  <si>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</si>
  <si>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</si>
  <si>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HS2020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</si>
  <si>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</si>
  <si>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</si>
  <si>
    <t>HS2030</t>
    <phoneticPr fontId="1" type="noConversion"/>
  </si>
  <si>
    <t>HS2021</t>
    <phoneticPr fontId="1" type="noConversion"/>
  </si>
  <si>
    <t>HS2011</t>
    <phoneticPr fontId="1" type="noConversion"/>
  </si>
  <si>
    <t>V4.0</t>
    <phoneticPr fontId="1" type="noConversion"/>
  </si>
  <si>
    <t>1) UnitGrowthExp 루미나 스킬 습득 순서 조정: 체인 라이팅 - 플레어 봄 - 솔라 프리즘 - 프리즘 익스플로전
2) EnemyUnit 스킬 교체</t>
    <phoneticPr fontId="1" type="noConversion"/>
  </si>
  <si>
    <t>위협 사격</t>
    <phoneticPr fontId="1" type="noConversion"/>
  </si>
  <si>
    <t>(매턴) 임의의 적에게 위협 사격
 - 대상 1차 판정: 전열의 적 70%, 후열의 적 30%
 - 대상 2차 판정(같은 열의 적이 여럿일 경우): 동일한 확률로 랜덤 결정</t>
    <phoneticPr fontId="1" type="noConversion"/>
  </si>
  <si>
    <t>원거리 난사</t>
    <phoneticPr fontId="1" type="noConversion"/>
  </si>
  <si>
    <t>적군 스킬 2 효과
(0 공격 1 회복 2 부활)</t>
    <phoneticPr fontId="1" type="noConversion"/>
  </si>
  <si>
    <t>{9}</t>
    <phoneticPr fontId="1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</si>
  <si>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1" type="noConversion"/>
  </si>
  <si>
    <t>{0,1,3,5,7}</t>
    <phoneticPr fontId="1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</si>
  <si>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1" type="noConversion"/>
  </si>
  <si>
    <t>파동탄</t>
    <phoneticPr fontId="1" type="noConversion"/>
  </si>
  <si>
    <t>연격</t>
    <phoneticPr fontId="1" type="noConversion"/>
  </si>
  <si>
    <t>{0,1,2,3,4,5,6,7,8}</t>
    <phoneticPr fontId="1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</si>
  <si>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1" type="noConversion"/>
  </si>
  <si>
    <t>V5.0</t>
    <phoneticPr fontId="1" type="noConversion"/>
  </si>
  <si>
    <t>알파2 밸런스 가안 반영</t>
    <phoneticPr fontId="1" type="noConversion"/>
  </si>
  <si>
    <t>그냥 드론</t>
    <phoneticPr fontId="1" type="noConversion"/>
  </si>
  <si>
    <t>R0103</t>
    <phoneticPr fontId="1" type="noConversion"/>
  </si>
  <si>
    <t>다음 자신의 차례까지 아군 유닛을 공격하는 플레이어의 단일 공격을 1회 방어한다.</t>
    <phoneticPr fontId="1" type="noConversion"/>
  </si>
  <si>
    <t>A2FEP001</t>
  </si>
  <si>
    <t>A2FEP001</t>
    <phoneticPr fontId="1" type="noConversion"/>
  </si>
  <si>
    <t>A2FEP002</t>
  </si>
  <si>
    <t>A2FEP002</t>
    <phoneticPr fontId="1" type="noConversion"/>
  </si>
  <si>
    <t>A2FEP003</t>
  </si>
  <si>
    <t>A2FEP004</t>
  </si>
  <si>
    <t>A2FEP005</t>
  </si>
  <si>
    <t>A2FEP006</t>
  </si>
  <si>
    <t>A2FEP007</t>
  </si>
  <si>
    <t>A2FEP008</t>
  </si>
  <si>
    <t>A2FEP009</t>
  </si>
  <si>
    <t>A2FEP010</t>
  </si>
  <si>
    <t>FV20001</t>
    <phoneticPr fontId="1" type="noConversion"/>
  </si>
  <si>
    <t>FV20002</t>
    <phoneticPr fontId="1" type="noConversion"/>
  </si>
  <si>
    <t>FV20003</t>
    <phoneticPr fontId="1" type="noConversion"/>
  </si>
  <si>
    <t>FV20005</t>
    <phoneticPr fontId="1" type="noConversion"/>
  </si>
  <si>
    <t>V5.1</t>
    <phoneticPr fontId="1" type="noConversion"/>
  </si>
  <si>
    <t>UMT, 튜토리얼 그룹 추가</t>
    <phoneticPr fontId="1" type="noConversion"/>
  </si>
  <si>
    <t>TUFEP002</t>
    <phoneticPr fontId="1" type="noConversion"/>
  </si>
  <si>
    <t>TUFEP001</t>
    <phoneticPr fontId="1" type="noConversion"/>
  </si>
  <si>
    <t>튜토리얼 파티 2</t>
    <phoneticPr fontId="1" type="noConversion"/>
  </si>
  <si>
    <t>튜토리얼 파티 1</t>
    <phoneticPr fontId="1" type="noConversion"/>
  </si>
  <si>
    <t>A2FEP003</t>
    <phoneticPr fontId="1" type="noConversion"/>
  </si>
  <si>
    <t>FV20001</t>
    <phoneticPr fontId="1" type="noConversion"/>
  </si>
  <si>
    <t>V5.2</t>
    <phoneticPr fontId="1" type="noConversion"/>
  </si>
  <si>
    <t>강현재</t>
    <phoneticPr fontId="1" type="noConversion"/>
  </si>
  <si>
    <t>일부 부대 수정</t>
    <phoneticPr fontId="1" type="noConversion"/>
  </si>
  <si>
    <t>V5.3</t>
    <phoneticPr fontId="1" type="noConversion"/>
  </si>
  <si>
    <t>최대 IP 증가량 조정</t>
    <phoneticPr fontId="1" type="noConversion"/>
  </si>
  <si>
    <t>최대 I.P 초기값 100</t>
    <phoneticPr fontId="1" type="noConversion"/>
  </si>
  <si>
    <t>패배 패널티 -5</t>
    <phoneticPr fontId="1" type="noConversion"/>
  </si>
  <si>
    <t>승리 보상 +5</t>
    <phoneticPr fontId="1" type="noConversion"/>
  </si>
  <si>
    <t>V5.4</t>
    <phoneticPr fontId="1" type="noConversion"/>
  </si>
  <si>
    <t>강화병 체력 40 → 100
프리즘 익스플로전 설명 오류 수정</t>
    <phoneticPr fontId="1" type="noConversion"/>
  </si>
  <si>
    <t>드론 공격력 조정</t>
    <phoneticPr fontId="9" type="noConversion"/>
  </si>
  <si>
    <t>강현재</t>
    <phoneticPr fontId="9" type="noConversion"/>
  </si>
  <si>
    <t>V5.5</t>
    <phoneticPr fontId="9" type="noConversion"/>
  </si>
  <si>
    <t>V1.0</t>
    <phoneticPr fontId="1" type="noConversion"/>
  </si>
  <si>
    <t>베타 전투 밸런스 데이터 테이블</t>
    <phoneticPr fontId="1" type="noConversion"/>
  </si>
  <si>
    <t>강현재</t>
    <phoneticPr fontId="1" type="noConversion"/>
  </si>
  <si>
    <r>
      <t xml:space="preserve">히어로젬의 힘으로 적 1명을 공격한다. 기본 </t>
    </r>
    <r>
      <rPr>
        <sz val="11"/>
        <color rgb="FFFF0000"/>
        <rFont val="맑은 고딕"/>
        <family val="3"/>
        <charset val="129"/>
        <scheme val="minor"/>
      </rPr>
      <t xml:space="preserve">{UnitATK}*{WeaponSkillValue} </t>
    </r>
    <r>
      <rPr>
        <sz val="11"/>
        <rFont val="맑은 고딕"/>
        <family val="3"/>
        <charset val="129"/>
        <scheme val="minor"/>
      </rPr>
      <t>대미지</t>
    </r>
    <phoneticPr fontId="1" type="noConversion"/>
  </si>
  <si>
    <r>
      <t xml:space="preserve">히어로젬의 힘을 폭발시켜 모든 적을 공격한다. 기본 </t>
    </r>
    <r>
      <rPr>
        <sz val="11"/>
        <color rgb="FFFF0000"/>
        <rFont val="맑은 고딕"/>
        <family val="3"/>
        <charset val="129"/>
        <scheme val="minor"/>
      </rPr>
      <t>{UnitATK}*{WeaponSkillValue}</t>
    </r>
    <r>
      <rPr>
        <sz val="11"/>
        <rFont val="맑은 고딕"/>
        <family val="3"/>
        <charset val="129"/>
        <scheme val="minor"/>
      </rPr>
      <t xml:space="preserve"> 대미지</t>
    </r>
    <phoneticPr fontId="1" type="noConversion"/>
  </si>
  <si>
    <r>
      <t xml:space="preserve">히어로젬의 힘으로 아군 1명의 체력을 회복한다. </t>
    </r>
    <r>
      <rPr>
        <sz val="11"/>
        <color rgb="FFFF0000"/>
        <rFont val="맑은 고딕"/>
        <family val="3"/>
        <charset val="129"/>
        <scheme val="minor"/>
      </rPr>
      <t>사용한 히어로의{UnitMaxHP}*{WeaponSkillValue}</t>
    </r>
    <r>
      <rPr>
        <sz val="11"/>
        <rFont val="맑은 고딕"/>
        <family val="3"/>
        <charset val="129"/>
        <scheme val="minor"/>
      </rPr>
      <t xml:space="preserve"> 회복</t>
    </r>
    <phoneticPr fontId="1" type="noConversion"/>
  </si>
  <si>
    <r>
      <t xml:space="preserve">히어로젬의 힘으로 보호막을 생성한다. 사용한 히어로가 다음 자신의 차례 전까지 받는 대미지가 감소한다. 대미지 감소량 </t>
    </r>
    <r>
      <rPr>
        <sz val="11"/>
        <color rgb="FFFF0000"/>
        <rFont val="맑은 고딕"/>
        <family val="3"/>
        <charset val="129"/>
        <scheme val="minor"/>
      </rPr>
      <t>{WeaponSkillValue}</t>
    </r>
    <phoneticPr fontId="1" type="noConversion"/>
  </si>
  <si>
    <r>
      <t>히어로젬의 힘으로 모든 적의 방어력을 1턴 동안 감소시킨다. 받는 각 대상 방어력의</t>
    </r>
    <r>
      <rPr>
        <sz val="11"/>
        <color rgb="FFFF0000"/>
        <rFont val="맑은 고딕"/>
        <family val="3"/>
        <charset val="129"/>
        <scheme val="minor"/>
      </rPr>
      <t xml:space="preserve"> {WeaponSkillValue}</t>
    </r>
    <r>
      <rPr>
        <sz val="11"/>
        <rFont val="맑은 고딕"/>
        <family val="3"/>
        <charset val="129"/>
        <scheme val="minor"/>
      </rPr>
      <t>만큼 감소</t>
    </r>
    <phoneticPr fontId="1" type="noConversion"/>
  </si>
  <si>
    <t>상대 단일 유닛에게 {EnemySkill1Value} 대미지를 준다.</t>
    <phoneticPr fontId="1" type="noConversion"/>
  </si>
  <si>
    <t>상대 1열에 {EnemySkill2Value} 대미지를 준다.</t>
    <phoneticPr fontId="1" type="noConversion"/>
  </si>
  <si>
    <t>상대 전열 단일 유닛에게 {EnemySkill1Value} 대미지를 준다.</t>
    <phoneticPr fontId="1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</si>
  <si>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1" type="noConversion"/>
  </si>
  <si>
    <t>상대 단일 유닛 1체에 {EnemySkill2Value} 대미지를 주고, 랜덤 히어로 1체에 {EnemySkill2SubValue} 대미지를 준다.</t>
    <phoneticPr fontId="1" type="noConversion"/>
  </si>
  <si>
    <t>FV20002</t>
  </si>
  <si>
    <t>FV20003</t>
  </si>
  <si>
    <t>FV20001</t>
    <phoneticPr fontId="5" type="noConversion"/>
  </si>
  <si>
    <t>FV20002</t>
    <phoneticPr fontId="5" type="noConversion"/>
  </si>
  <si>
    <t>FV20005</t>
  </si>
  <si>
    <t>메인 1-1 전투 (약탈꾼)</t>
    <phoneticPr fontId="1" type="noConversion"/>
  </si>
  <si>
    <t>메인 1-2 전투</t>
    <phoneticPr fontId="1" type="noConversion"/>
  </si>
  <si>
    <t>메인 2-1 전투</t>
    <phoneticPr fontId="1" type="noConversion"/>
  </si>
  <si>
    <t>메인 2-2 전투</t>
    <phoneticPr fontId="1" type="noConversion"/>
  </si>
  <si>
    <t>메인 2-3 전투</t>
    <phoneticPr fontId="1" type="noConversion"/>
  </si>
  <si>
    <t>A2FEP006</t>
    <phoneticPr fontId="5" type="noConversion"/>
  </si>
  <si>
    <t>메인 3-2(로니 전투 / 탈영 후 조우)</t>
  </si>
  <si>
    <t>A2FEP008</t>
    <phoneticPr fontId="5" type="noConversion"/>
  </si>
  <si>
    <t>메인 3-3(공돌이 경비 호출 / 경비 제압)</t>
  </si>
  <si>
    <t>FV20003</t>
    <phoneticPr fontId="5" type="noConversion"/>
  </si>
  <si>
    <t>A2FEP007</t>
    <phoneticPr fontId="5" type="noConversion"/>
  </si>
  <si>
    <t>메인 3-1(시위대 보호 / 시위대 후방 대기)</t>
  </si>
  <si>
    <t>A2FEP009</t>
    <phoneticPr fontId="5" type="noConversion"/>
  </si>
  <si>
    <t>메인 4-1(기본 / 전열·후열 온전)</t>
  </si>
  <si>
    <t>A2FEP010</t>
    <phoneticPr fontId="5" type="noConversion"/>
  </si>
  <si>
    <t>메인 4-2(기본 / 지휘관 부재·사기 저하 UMT)</t>
  </si>
  <si>
    <t>V1.1</t>
    <phoneticPr fontId="1" type="noConversion"/>
  </si>
  <si>
    <t>명칭 변경
아군, 적군 스테이터스
경험치 수정</t>
    <phoneticPr fontId="1" type="noConversion"/>
  </si>
  <si>
    <t>적군 그룹 수정</t>
    <phoneticPr fontId="1" type="noConversion"/>
  </si>
  <si>
    <r>
      <t xml:space="preserve">적 1명에게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주고, 다음 자신의 차례 전까지 모든 적의 단일 공격 대상을 자신으로 변경한다. </t>
    </r>
    <phoneticPr fontId="1" type="noConversion"/>
  </si>
  <si>
    <r>
      <t>적 1명에게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주며, 대상이 전열에 있을 경우 추가 </t>
    </r>
    <r>
      <rPr>
        <b/>
        <sz val="11"/>
        <color rgb="FFFF0000"/>
        <rFont val="맑은 고딕"/>
        <family val="3"/>
        <charset val="129"/>
        <scheme val="minor"/>
      </rPr>
      <t>{UnitATK}*{ClassSkillValue}+{UnitATK}*{ClassSkillSubValue}</t>
    </r>
    <r>
      <rPr>
        <sz val="11"/>
        <color theme="1"/>
        <rFont val="맑은 고딕"/>
        <family val="2"/>
        <charset val="129"/>
        <scheme val="minor"/>
      </rPr>
      <t xml:space="preserve">대미지를 준다. </t>
    </r>
    <phoneticPr fontId="1" type="noConversion"/>
  </si>
  <si>
    <r>
      <t>적을 관통해 해당 가로줄의 전열에게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</t>
    </r>
    <r>
      <rPr>
        <sz val="11"/>
        <color theme="1"/>
        <rFont val="맑은 고딕"/>
        <family val="2"/>
        <charset val="129"/>
        <scheme val="minor"/>
      </rPr>
      <t xml:space="preserve"> 대미지, 후열에게 </t>
    </r>
    <r>
      <rPr>
        <b/>
        <sz val="11"/>
        <color rgb="FFFF0000"/>
        <rFont val="맑은 고딕"/>
        <family val="3"/>
        <charset val="129"/>
        <scheme val="minor"/>
      </rPr>
      <t>{UnitATK}*{ClassSkillSubValue}</t>
    </r>
    <r>
      <rPr>
        <sz val="11"/>
        <color theme="1"/>
        <rFont val="맑은 고딕"/>
        <family val="2"/>
        <charset val="129"/>
        <scheme val="minor"/>
      </rPr>
      <t xml:space="preserve"> 대미지로 공격한다.</t>
    </r>
    <phoneticPr fontId="1" type="noConversion"/>
  </si>
  <si>
    <r>
      <t xml:space="preserve">모든 적에게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>대미지를 주고, 다음 자신의 차례 전까지 모든 적의 단일 공격 대상을 자신으로 변경한다.</t>
    </r>
    <phoneticPr fontId="1" type="noConversion"/>
  </si>
  <si>
    <r>
      <t>적 1명에게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준다. </t>
    </r>
    <phoneticPr fontId="1" type="noConversion"/>
  </si>
  <si>
    <r>
      <t xml:space="preserve">선택한 적 1명에게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>대미지를 주고, 인접한 적 1명에게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{UnitATK}*{ClassSkillSubValue}</t>
    </r>
    <r>
      <rPr>
        <sz val="11"/>
        <color theme="1"/>
        <rFont val="맑은 고딕"/>
        <family val="2"/>
        <charset val="129"/>
        <scheme val="minor"/>
      </rPr>
      <t>대미지를 준다.</t>
    </r>
    <phoneticPr fontId="1" type="noConversion"/>
  </si>
  <si>
    <t>선택한 세로줄에 있는 모든 적에게 {UnitATK}*{ClassSkillValue}대미지를 준다.</t>
    <phoneticPr fontId="1" type="noConversion"/>
  </si>
  <si>
    <r>
      <t>모든 적에게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주고, 각 대상의 현재 체력이 50% 미만일 경우 추가 </t>
    </r>
    <r>
      <rPr>
        <b/>
        <sz val="11"/>
        <color rgb="FFFF0000"/>
        <rFont val="맑은 고딕"/>
        <family val="3"/>
        <charset val="129"/>
        <scheme val="minor"/>
      </rPr>
      <t>{UnitATK}*{ClassSkillSubValue}</t>
    </r>
    <r>
      <rPr>
        <sz val="11"/>
        <color theme="1"/>
        <rFont val="맑은 고딕"/>
        <family val="2"/>
        <charset val="129"/>
        <scheme val="minor"/>
      </rPr>
      <t xml:space="preserve">대미지를 준다. </t>
    </r>
    <phoneticPr fontId="1" type="noConversion"/>
  </si>
  <si>
    <r>
      <t>적 1명에게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</t>
    </r>
    <r>
      <rPr>
        <sz val="11"/>
        <color theme="1"/>
        <rFont val="맑은 고딕"/>
        <family val="2"/>
        <charset val="129"/>
        <scheme val="minor"/>
      </rPr>
      <t>대미지를 준다.</t>
    </r>
    <phoneticPr fontId="1" type="noConversion"/>
  </si>
  <si>
    <r>
      <t xml:space="preserve">선택한 세로줄에 있는 모든 적에게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>대미지를 준다.</t>
    </r>
    <phoneticPr fontId="1" type="noConversion"/>
  </si>
  <si>
    <r>
      <t>적 1명에게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</t>
    </r>
    <r>
      <rPr>
        <sz val="11"/>
        <color theme="1"/>
        <rFont val="맑은 고딕"/>
        <family val="2"/>
        <charset val="129"/>
        <scheme val="minor"/>
      </rPr>
      <t>대미지를 주며, 대상이 전열에 있을 경우 추가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{UnitATK}*{ClassSkillValue}+{UnitATK}*{ClassSkillSubValue}</t>
    </r>
    <r>
      <rPr>
        <sz val="11"/>
        <color theme="1"/>
        <rFont val="맑은 고딕"/>
        <family val="2"/>
        <charset val="129"/>
        <scheme val="minor"/>
      </rPr>
      <t xml:space="preserve">대미지를 준다. </t>
    </r>
    <phoneticPr fontId="1" type="noConversion"/>
  </si>
  <si>
    <r>
      <t xml:space="preserve">적 1명에게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rFont val="맑은 고딕"/>
        <family val="3"/>
        <charset val="129"/>
        <scheme val="minor"/>
      </rPr>
      <t>데미지로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2회 공격한다. (치명타, 피해 경감율 판정은 각각 계산한다.)</t>
    </r>
    <phoneticPr fontId="1" type="noConversion"/>
  </si>
  <si>
    <r>
      <t xml:space="preserve">적 1명에게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준다. 대상의 최대 체력 대비 잃은 체력 10%당 추가 </t>
    </r>
    <r>
      <rPr>
        <b/>
        <sz val="11"/>
        <color rgb="FFFF0000"/>
        <rFont val="맑은 고딕"/>
        <family val="3"/>
        <charset val="129"/>
        <scheme val="minor"/>
      </rPr>
      <t>{UnitATK}*{ClassSkillSubValue}</t>
    </r>
    <r>
      <rPr>
        <sz val="11"/>
        <color theme="1"/>
        <rFont val="맑은 고딕"/>
        <family val="2"/>
        <charset val="129"/>
        <scheme val="minor"/>
      </rPr>
      <t>대미지를 준다.</t>
    </r>
    <phoneticPr fontId="1" type="noConversion"/>
  </si>
  <si>
    <r>
      <t xml:space="preserve">아군 1명 체력을 </t>
    </r>
    <r>
      <rPr>
        <b/>
        <sz val="11"/>
        <color rgb="FFFF0000"/>
        <rFont val="맑은 고딕"/>
        <family val="3"/>
        <charset val="129"/>
        <scheme val="minor"/>
      </rPr>
      <t>네코밍의{UnitMaxHP}*{ClassSkillValue}</t>
    </r>
    <r>
      <rPr>
        <sz val="11"/>
        <color theme="1"/>
        <rFont val="맑은 고딕"/>
        <family val="2"/>
        <charset val="129"/>
        <scheme val="minor"/>
      </rPr>
      <t>만큼 회복한다.</t>
    </r>
    <phoneticPr fontId="1" type="noConversion"/>
  </si>
  <si>
    <r>
      <t xml:space="preserve">적 1명에게 </t>
    </r>
    <r>
      <rPr>
        <b/>
        <sz val="11"/>
        <color rgb="FFFF0000"/>
        <rFont val="맑은 고딕"/>
        <family val="3"/>
        <charset val="129"/>
        <scheme val="minor"/>
      </rPr>
      <t>{UnitATK}*{ClassSkillValue}</t>
    </r>
    <r>
      <rPr>
        <sz val="11"/>
        <color theme="1"/>
        <rFont val="맑은 고딕"/>
        <family val="2"/>
        <charset val="129"/>
        <scheme val="minor"/>
      </rPr>
      <t xml:space="preserve">대미지를 주고, 실제 입힌 대미지만큼 무작위 아군 1명의 체력을 회복한다. </t>
    </r>
    <phoneticPr fontId="1" type="noConversion"/>
  </si>
  <si>
    <r>
      <t xml:space="preserve">모든 아군의 체력을 </t>
    </r>
    <r>
      <rPr>
        <b/>
        <sz val="11"/>
        <color rgb="FFFF0000"/>
        <rFont val="맑은 고딕"/>
        <family val="3"/>
        <charset val="129"/>
        <scheme val="minor"/>
      </rPr>
      <t>네코밍의{UnitMaxHP}*{ClassSkillValue}</t>
    </r>
    <r>
      <rPr>
        <sz val="11"/>
        <color theme="1"/>
        <rFont val="맑은 고딕"/>
        <family val="2"/>
        <charset val="129"/>
        <scheme val="minor"/>
      </rPr>
      <t>만큼 회복한다.</t>
    </r>
    <phoneticPr fontId="1" type="noConversion"/>
  </si>
  <si>
    <r>
      <t xml:space="preserve">리타이어한 아군 1명의 체력을 </t>
    </r>
    <r>
      <rPr>
        <b/>
        <sz val="11"/>
        <color rgb="FFFF0000"/>
        <rFont val="맑은 고딕"/>
        <family val="3"/>
        <charset val="129"/>
        <scheme val="minor"/>
      </rPr>
      <t>UnitMaxHP의{ClassSkillSubValue}</t>
    </r>
    <r>
      <rPr>
        <sz val="11"/>
        <color theme="1"/>
        <rFont val="맑은 고딕"/>
        <family val="2"/>
        <charset val="129"/>
        <scheme val="minor"/>
      </rPr>
      <t>로 부활시키고 모든 적에게</t>
    </r>
    <r>
      <rPr>
        <b/>
        <sz val="11"/>
        <color rgb="FFFF0000"/>
        <rFont val="맑은 고딕"/>
        <family val="3"/>
        <charset val="129"/>
        <scheme val="minor"/>
      </rPr>
      <t xml:space="preserve"> {UnitATK}*{ClassSkillValue}</t>
    </r>
    <r>
      <rPr>
        <sz val="11"/>
        <color theme="1"/>
        <rFont val="맑은 고딕"/>
        <family val="2"/>
        <charset val="129"/>
        <scheme val="minor"/>
      </rPr>
      <t>대미지를 준다. 
단, 부활 효과는 전투당 1회만 적용되며, 이후 사용 시에는 적 전체 공격 효과만 적용된다.</t>
    </r>
    <phoneticPr fontId="1" type="noConversion"/>
  </si>
  <si>
    <t>V1.2</t>
    <phoneticPr fontId="1" type="noConversion"/>
  </si>
  <si>
    <t>스킬 설명 수정</t>
    <phoneticPr fontId="1" type="noConversion"/>
  </si>
  <si>
    <t>윤태일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</si>
</sst>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49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1" xfId="1" applyBorder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Alignment="1">
      <alignment horizontal="left" vertical="center" wrapText="1"/>
    </xf>
    <xf numFmtId="9" fontId="4" fillId="0" borderId="0" xfId="0" applyNumberFormat="1" applyFont="1" applyAlignment="1">
      <alignment horizontal="left" vertical="center" wrapText="1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178" fontId="0" fillId="0" borderId="0" xfId="0" applyNumberFormat="1">
      <alignment vertical="center"/>
    </xf>
    <xf numFmtId="0" fontId="0" fillId="0" borderId="1" xfId="1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9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0" fillId="2" borderId="0" xfId="0" applyFill="1" applyAlignment="1"/>
    <xf numFmtId="0" fontId="8" fillId="0" borderId="0" xfId="1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22"/>
  <sheetViews>
    <sheetView tabSelected="1" topLeftCell="A4" workbookViewId="0">
      <selection activeCell="D19" sqref="D19"/>
    </sheetView>
  </sheetViews>
  <sheetFormatPr defaultRowHeight="16.5"/>
  <cols>
    <col min="2" max="2" width="9.5" bestFit="1" customWidth="1"/>
    <col min="3" max="3" width="122.875" customWidth="1"/>
  </cols>
  <sheetData>
    <row r="2" spans="1:4">
      <c r="C2" t="s">
        <v>271</v>
      </c>
    </row>
    <row r="3" spans="1:4">
      <c r="B3" s="18">
        <v>46196</v>
      </c>
      <c r="C3" t="s">
        <v>270</v>
      </c>
      <c r="D3" t="s">
        <v>467</v>
      </c>
    </row>
    <row r="4" spans="1:4" ht="330">
      <c r="B4" s="18">
        <v>46209</v>
      </c>
      <c r="C4" s="2" t="s">
        <v>416</v>
      </c>
      <c r="D4" t="s">
        <v>467</v>
      </c>
    </row>
    <row r="5" spans="1:4">
      <c r="B5" s="18">
        <v>46213</v>
      </c>
      <c r="C5" t="s">
        <v>454</v>
      </c>
      <c r="D5" t="s">
        <v>467</v>
      </c>
    </row>
    <row r="6" spans="1:4" ht="82.5">
      <c r="B6" s="18">
        <v>46218</v>
      </c>
      <c r="C6" s="2" t="s">
        <v>464</v>
      </c>
      <c r="D6" t="s">
        <v>467</v>
      </c>
    </row>
    <row r="7" spans="1:4">
      <c r="A7" t="s">
        <v>466</v>
      </c>
      <c r="B7" s="18">
        <v>46232</v>
      </c>
      <c r="C7" s="2" t="s">
        <v>465</v>
      </c>
      <c r="D7" t="s">
        <v>467</v>
      </c>
    </row>
    <row r="8" spans="1:4">
      <c r="A8" t="s">
        <v>469</v>
      </c>
      <c r="B8" s="18">
        <v>46234</v>
      </c>
      <c r="C8" s="2" t="s">
        <v>470</v>
      </c>
      <c r="D8" t="s">
        <v>467</v>
      </c>
    </row>
    <row r="9" spans="1:4" ht="33">
      <c r="A9" t="s">
        <v>474</v>
      </c>
      <c r="B9" s="18">
        <v>46241</v>
      </c>
      <c r="C9" s="2" t="s">
        <v>475</v>
      </c>
      <c r="D9" t="s">
        <v>467</v>
      </c>
    </row>
    <row r="10" spans="1:4">
      <c r="A10" t="s">
        <v>488</v>
      </c>
      <c r="B10" s="18">
        <v>46281</v>
      </c>
      <c r="C10" s="2" t="s">
        <v>489</v>
      </c>
      <c r="D10" t="s">
        <v>467</v>
      </c>
    </row>
    <row r="11" spans="1:4">
      <c r="A11" t="s">
        <v>509</v>
      </c>
      <c r="B11" s="18">
        <v>46288</v>
      </c>
      <c r="C11" s="2" t="s">
        <v>510</v>
      </c>
      <c r="D11" t="s">
        <v>467</v>
      </c>
    </row>
    <row r="12" spans="1:4">
      <c r="A12" t="s">
        <v>517</v>
      </c>
      <c r="B12" s="18">
        <v>46294</v>
      </c>
      <c r="C12" s="2" t="s">
        <v>519</v>
      </c>
      <c r="D12" t="s">
        <v>518</v>
      </c>
    </row>
    <row r="13" spans="1:4">
      <c r="A13" t="s">
        <v>520</v>
      </c>
      <c r="B13" s="18">
        <v>46295</v>
      </c>
      <c r="C13" s="2" t="s">
        <v>521</v>
      </c>
      <c r="D13" t="s">
        <v>467</v>
      </c>
    </row>
    <row r="14" spans="1:4" ht="33">
      <c r="A14" t="s">
        <v>525</v>
      </c>
      <c r="B14" s="18">
        <v>46297</v>
      </c>
      <c r="C14" s="2" t="s">
        <v>526</v>
      </c>
      <c r="D14" t="s">
        <v>467</v>
      </c>
    </row>
    <row r="15" spans="1:4">
      <c r="A15" s="29" t="s">
        <v>529</v>
      </c>
      <c r="B15" s="18">
        <v>46297</v>
      </c>
      <c r="C15" s="30" t="s">
        <v>527</v>
      </c>
      <c r="D15" s="29" t="s">
        <v>528</v>
      </c>
    </row>
    <row r="16" spans="1:4">
      <c r="B16" s="18" t="s">
        <v>531</v>
      </c>
    </row>
    <row r="17" spans="1:4" ht="49.5">
      <c r="A17" t="s">
        <v>530</v>
      </c>
      <c r="B17" s="18">
        <v>46308</v>
      </c>
      <c r="C17" s="30" t="s">
        <v>565</v>
      </c>
      <c r="D17" t="s">
        <v>532</v>
      </c>
    </row>
    <row r="18" spans="1:4">
      <c r="A18" t="s">
        <v>564</v>
      </c>
      <c r="B18" s="18">
        <v>46309</v>
      </c>
      <c r="C18" s="30" t="s">
        <v>566</v>
      </c>
      <c r="D18" t="s">
        <v>467</v>
      </c>
    </row>
    <row r="19" spans="1:4">
      <c r="A19" t="s">
        <v>584</v>
      </c>
      <c r="B19" s="18">
        <v>46315</v>
      </c>
      <c r="C19" s="30" t="s">
        <v>585</v>
      </c>
      <c r="D19" t="s">
        <v>586</v>
      </c>
    </row>
    <row r="20" spans="1:4">
      <c r="B20" s="18"/>
    </row>
    <row r="21" spans="1:4">
      <c r="B21" s="18"/>
    </row>
    <row r="22" spans="1:4">
      <c r="B22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12"/>
  <sheetViews>
    <sheetView zoomScaleNormal="100" workbookViewId="0"/>
  </sheetViews>
  <sheetFormatPr defaultColWidth="9" defaultRowHeight="16.5"/>
  <cols>
    <col min="1" max="1" width="10.5" bestFit="1" customWidth="1"/>
    <col min="2" max="4" width="15.625" customWidth="1"/>
    <col min="5" max="5" width="33.375" bestFit="1" customWidth="1"/>
    <col min="6" max="12" width="15.625" customWidth="1"/>
    <col min="13" max="13" width="37.75" bestFit="1" customWidth="1"/>
    <col min="14" max="14" width="32" bestFit="1" customWidth="1"/>
    <col min="15" max="15" width="25" customWidth="1"/>
    <col min="16" max="16" width="24.625" customWidth="1"/>
    <col min="17" max="17" width="24.375" customWidth="1"/>
    <col min="18" max="62" width="15.625" customWidth="1"/>
  </cols>
  <sheetData>
    <row r="1" spans="1:17">
      <c r="A1" t="s">
        <v>175</v>
      </c>
    </row>
    <row r="2" spans="1:17">
      <c r="B2" s="45" t="s">
        <v>211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7">
      <c r="A4" s="5" t="s">
        <v>176</v>
      </c>
      <c r="B4" s="5" t="s">
        <v>18</v>
      </c>
      <c r="C4" s="5" t="s">
        <v>19</v>
      </c>
      <c r="D4" s="5" t="s">
        <v>19</v>
      </c>
      <c r="E4" s="5" t="s">
        <v>19</v>
      </c>
      <c r="F4" s="5" t="s">
        <v>18</v>
      </c>
      <c r="G4" s="5" t="s">
        <v>18</v>
      </c>
      <c r="H4" s="5" t="s">
        <v>18</v>
      </c>
      <c r="I4" s="5" t="s">
        <v>177</v>
      </c>
      <c r="J4" s="5" t="s">
        <v>177</v>
      </c>
      <c r="K4" s="5" t="s">
        <v>177</v>
      </c>
      <c r="L4" s="5" t="s">
        <v>18</v>
      </c>
      <c r="M4" s="5" t="s">
        <v>453</v>
      </c>
      <c r="N4" s="5" t="s">
        <v>453</v>
      </c>
      <c r="O4" s="5" t="s">
        <v>18</v>
      </c>
      <c r="P4" s="5" t="s">
        <v>18</v>
      </c>
      <c r="Q4" s="5" t="s">
        <v>18</v>
      </c>
    </row>
    <row r="5" spans="1:17">
      <c r="A5" s="5" t="s">
        <v>178</v>
      </c>
      <c r="B5" s="6" t="s">
        <v>28</v>
      </c>
      <c r="C5" s="6" t="s">
        <v>174</v>
      </c>
      <c r="D5" s="6" t="s">
        <v>26</v>
      </c>
      <c r="E5" s="6" t="s">
        <v>27</v>
      </c>
      <c r="F5" s="6" t="s">
        <v>112</v>
      </c>
      <c r="G5" s="6" t="s">
        <v>111</v>
      </c>
      <c r="H5" s="6" t="s">
        <v>110</v>
      </c>
      <c r="I5" s="6" t="s">
        <v>1</v>
      </c>
      <c r="J5" s="6" t="s">
        <v>4</v>
      </c>
      <c r="K5" s="6" t="s">
        <v>36</v>
      </c>
      <c r="L5" s="6" t="s">
        <v>2</v>
      </c>
      <c r="M5" s="7" t="s">
        <v>34</v>
      </c>
      <c r="N5" s="7" t="s">
        <v>35</v>
      </c>
      <c r="O5" s="8" t="s">
        <v>132</v>
      </c>
      <c r="P5" s="8" t="s">
        <v>133</v>
      </c>
      <c r="Q5" s="8" t="s">
        <v>134</v>
      </c>
    </row>
    <row r="6" spans="1:17" ht="33">
      <c r="A6" s="5" t="s">
        <v>179</v>
      </c>
      <c r="B6" s="6">
        <v>10001</v>
      </c>
      <c r="C6" s="6" t="s">
        <v>247</v>
      </c>
      <c r="D6" s="6" t="s">
        <v>128</v>
      </c>
      <c r="E6" s="6" t="s">
        <v>248</v>
      </c>
      <c r="F6" s="31">
        <v>9</v>
      </c>
      <c r="G6" s="6">
        <v>9</v>
      </c>
      <c r="H6" s="6">
        <v>5</v>
      </c>
      <c r="I6" s="9">
        <v>0.15</v>
      </c>
      <c r="J6" s="9">
        <v>0.15</v>
      </c>
      <c r="K6" s="9">
        <v>0.15</v>
      </c>
      <c r="L6" s="6">
        <v>0</v>
      </c>
      <c r="M6" s="23" t="s">
        <v>448</v>
      </c>
      <c r="N6" s="6" t="s">
        <v>449</v>
      </c>
      <c r="O6" s="34">
        <v>6</v>
      </c>
      <c r="P6" s="10">
        <v>4</v>
      </c>
      <c r="Q6" s="10">
        <v>2</v>
      </c>
    </row>
    <row r="7" spans="1:17" ht="33">
      <c r="A7" s="5"/>
      <c r="B7" s="6">
        <v>10002</v>
      </c>
      <c r="C7" s="6" t="s">
        <v>249</v>
      </c>
      <c r="D7" s="6" t="s">
        <v>125</v>
      </c>
      <c r="E7" s="6" t="s">
        <v>250</v>
      </c>
      <c r="F7" s="31">
        <v>6</v>
      </c>
      <c r="G7" s="6">
        <v>12</v>
      </c>
      <c r="H7" s="6">
        <v>4</v>
      </c>
      <c r="I7" s="9">
        <v>0.3</v>
      </c>
      <c r="J7" s="9">
        <v>0.1</v>
      </c>
      <c r="K7" s="9">
        <v>0.2</v>
      </c>
      <c r="L7" s="6">
        <v>2</v>
      </c>
      <c r="M7" s="23" t="s">
        <v>450</v>
      </c>
      <c r="N7" s="6" t="s">
        <v>449</v>
      </c>
      <c r="O7" s="34">
        <v>6</v>
      </c>
      <c r="P7" s="10">
        <v>4</v>
      </c>
      <c r="Q7" s="10">
        <v>2</v>
      </c>
    </row>
    <row r="8" spans="1:17" ht="33">
      <c r="A8" s="5"/>
      <c r="B8" s="6">
        <v>10003</v>
      </c>
      <c r="C8" s="6" t="s">
        <v>251</v>
      </c>
      <c r="D8" s="6" t="s">
        <v>126</v>
      </c>
      <c r="E8" s="6" t="s">
        <v>252</v>
      </c>
      <c r="F8" s="31">
        <v>9</v>
      </c>
      <c r="G8" s="6">
        <v>12</v>
      </c>
      <c r="H8" s="6">
        <v>2</v>
      </c>
      <c r="I8" s="9">
        <v>0.2</v>
      </c>
      <c r="J8" s="9">
        <v>0.05</v>
      </c>
      <c r="K8" s="9">
        <v>0.1</v>
      </c>
      <c r="L8" s="6">
        <v>3</v>
      </c>
      <c r="M8" s="23" t="s">
        <v>451</v>
      </c>
      <c r="N8" s="6" t="s">
        <v>449</v>
      </c>
      <c r="O8" s="34">
        <v>3</v>
      </c>
      <c r="P8" s="10">
        <v>6</v>
      </c>
      <c r="Q8" s="10">
        <v>2</v>
      </c>
    </row>
    <row r="9" spans="1:17" ht="33">
      <c r="A9" s="5"/>
      <c r="B9" s="6">
        <v>10004</v>
      </c>
      <c r="C9" s="6" t="s">
        <v>253</v>
      </c>
      <c r="D9" s="6" t="s">
        <v>127</v>
      </c>
      <c r="E9" s="6" t="s">
        <v>254</v>
      </c>
      <c r="F9" s="31">
        <v>9</v>
      </c>
      <c r="G9" s="6">
        <v>8</v>
      </c>
      <c r="H9" s="6">
        <v>6</v>
      </c>
      <c r="I9" s="9">
        <v>0.1</v>
      </c>
      <c r="J9" s="9">
        <v>0.1</v>
      </c>
      <c r="K9" s="9">
        <v>0.15</v>
      </c>
      <c r="L9" s="6">
        <v>1</v>
      </c>
      <c r="M9" s="23" t="s">
        <v>452</v>
      </c>
      <c r="N9" s="6" t="s">
        <v>449</v>
      </c>
      <c r="O9" s="34">
        <v>6</v>
      </c>
      <c r="P9" s="10">
        <v>4</v>
      </c>
      <c r="Q9" s="10">
        <v>1</v>
      </c>
    </row>
    <row r="10" spans="1:17">
      <c r="H10" s="1"/>
    </row>
    <row r="11" spans="1:17">
      <c r="A11" t="s">
        <v>180</v>
      </c>
      <c r="B11" t="s">
        <v>181</v>
      </c>
    </row>
    <row r="12" spans="1:17" ht="33">
      <c r="A12" t="s">
        <v>175</v>
      </c>
      <c r="B12" s="2" t="s">
        <v>182</v>
      </c>
      <c r="C12" s="3" t="s">
        <v>255</v>
      </c>
      <c r="D12" s="3" t="s">
        <v>183</v>
      </c>
      <c r="E12" s="3" t="s">
        <v>184</v>
      </c>
      <c r="F12" t="s">
        <v>99</v>
      </c>
      <c r="G12" t="s">
        <v>100</v>
      </c>
      <c r="H12" t="s">
        <v>101</v>
      </c>
      <c r="I12" t="s">
        <v>185</v>
      </c>
      <c r="J12" t="s">
        <v>187</v>
      </c>
      <c r="K12" t="s">
        <v>186</v>
      </c>
      <c r="L12" t="s">
        <v>188</v>
      </c>
      <c r="M12" s="4" t="s">
        <v>189</v>
      </c>
      <c r="N12" s="4" t="s">
        <v>190</v>
      </c>
      <c r="O12" t="s">
        <v>191</v>
      </c>
      <c r="P12" t="s">
        <v>192</v>
      </c>
      <c r="Q12" t="s">
        <v>193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topLeftCell="A4" zoomScale="130" zoomScaleNormal="130" workbookViewId="0">
      <selection activeCell="A4" sqref="A4"/>
    </sheetView>
  </sheetViews>
  <sheetFormatPr defaultRowHeight="16.5"/>
  <cols>
    <col min="1" max="1" width="10.5" bestFit="1" customWidth="1"/>
    <col min="2" max="3" width="15.625" customWidth="1"/>
    <col min="4" max="4" width="24.125" bestFit="1" customWidth="1"/>
    <col min="5" max="5" width="13" bestFit="1" customWidth="1"/>
    <col min="6" max="6" width="18.125" bestFit="1" customWidth="1"/>
    <col min="7" max="7" width="18.375" bestFit="1" customWidth="1"/>
    <col min="8" max="8" width="20.375" bestFit="1" customWidth="1"/>
    <col min="9" max="9" width="18.125" bestFit="1" customWidth="1"/>
    <col min="10" max="10" width="15.625" customWidth="1"/>
    <col min="11" max="11" width="37.75" bestFit="1" customWidth="1"/>
    <col min="12" max="12" width="56.875" bestFit="1" customWidth="1"/>
    <col min="13" max="13" width="25" customWidth="1"/>
    <col min="14" max="14" width="24.625" customWidth="1"/>
    <col min="15" max="15" width="24.375" customWidth="1"/>
    <col min="16" max="60" width="15.625" customWidth="1"/>
  </cols>
  <sheetData>
    <row r="1" spans="1:14">
      <c r="A1" t="s">
        <v>175</v>
      </c>
    </row>
    <row r="2" spans="1:14">
      <c r="B2" s="47" t="s">
        <v>211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4" spans="1:14">
      <c r="A4" t="s">
        <v>176</v>
      </c>
      <c r="B4" t="s">
        <v>18</v>
      </c>
      <c r="C4" t="s">
        <v>19</v>
      </c>
      <c r="D4" t="s">
        <v>18</v>
      </c>
      <c r="E4" t="s">
        <v>18</v>
      </c>
      <c r="F4" s="22" t="s">
        <v>19</v>
      </c>
      <c r="G4" s="15" t="s">
        <v>19</v>
      </c>
      <c r="H4" s="22" t="s">
        <v>19</v>
      </c>
      <c r="I4" s="22" t="s">
        <v>19</v>
      </c>
    </row>
    <row r="5" spans="1:14">
      <c r="A5" t="s">
        <v>178</v>
      </c>
      <c r="B5" t="s">
        <v>243</v>
      </c>
      <c r="C5" t="s">
        <v>244</v>
      </c>
      <c r="D5" t="s">
        <v>245</v>
      </c>
      <c r="E5" t="s">
        <v>246</v>
      </c>
      <c r="F5" s="22" t="s">
        <v>442</v>
      </c>
      <c r="G5" s="15" t="s">
        <v>443</v>
      </c>
      <c r="H5" s="22" t="s">
        <v>440</v>
      </c>
      <c r="I5" s="22" t="s">
        <v>441</v>
      </c>
    </row>
    <row r="6" spans="1:14">
      <c r="A6" t="s">
        <v>179</v>
      </c>
      <c r="B6">
        <v>1</v>
      </c>
      <c r="C6" t="s">
        <v>108</v>
      </c>
      <c r="D6">
        <v>0</v>
      </c>
      <c r="E6">
        <v>0</v>
      </c>
      <c r="F6" s="19" t="s">
        <v>309</v>
      </c>
      <c r="G6" t="s">
        <v>468</v>
      </c>
      <c r="H6" s="19" t="s">
        <v>359</v>
      </c>
      <c r="I6" s="19" t="s">
        <v>387</v>
      </c>
    </row>
    <row r="7" spans="1:14">
      <c r="B7">
        <v>2</v>
      </c>
      <c r="C7" t="s">
        <v>107</v>
      </c>
      <c r="D7" s="17">
        <v>20</v>
      </c>
      <c r="E7">
        <v>10</v>
      </c>
      <c r="F7" s="19" t="s">
        <v>311</v>
      </c>
      <c r="G7" t="s">
        <v>337</v>
      </c>
      <c r="H7" s="19" t="s">
        <v>361</v>
      </c>
      <c r="I7" s="19" t="s">
        <v>389</v>
      </c>
    </row>
    <row r="8" spans="1:14">
      <c r="B8">
        <v>3</v>
      </c>
      <c r="C8" t="s">
        <v>106</v>
      </c>
      <c r="D8" s="17">
        <v>80</v>
      </c>
      <c r="E8">
        <v>20</v>
      </c>
      <c r="F8" s="19" t="s">
        <v>313</v>
      </c>
      <c r="G8" t="s">
        <v>471</v>
      </c>
      <c r="H8" s="19" t="s">
        <v>363</v>
      </c>
      <c r="I8" s="19" t="s">
        <v>391</v>
      </c>
    </row>
    <row r="9" spans="1:14">
      <c r="B9">
        <v>4</v>
      </c>
      <c r="C9" t="s">
        <v>105</v>
      </c>
      <c r="D9" s="17">
        <v>160</v>
      </c>
      <c r="E9">
        <v>10</v>
      </c>
      <c r="F9" s="19" t="s">
        <v>314</v>
      </c>
      <c r="G9" t="s">
        <v>340</v>
      </c>
      <c r="H9" s="19" t="s">
        <v>365</v>
      </c>
      <c r="I9" s="19" t="s">
        <v>393</v>
      </c>
    </row>
    <row r="10" spans="1:14">
      <c r="B10">
        <v>5</v>
      </c>
      <c r="C10" t="s">
        <v>104</v>
      </c>
      <c r="D10" s="17">
        <v>260</v>
      </c>
      <c r="E10">
        <v>10</v>
      </c>
      <c r="F10" s="19" t="s">
        <v>315</v>
      </c>
      <c r="G10" t="s">
        <v>472</v>
      </c>
      <c r="H10" s="19" t="s">
        <v>367</v>
      </c>
      <c r="I10" s="19" t="s">
        <v>395</v>
      </c>
    </row>
    <row r="11" spans="1:14">
      <c r="B11">
        <v>6</v>
      </c>
      <c r="C11" t="s">
        <v>103</v>
      </c>
      <c r="D11" s="17">
        <v>370</v>
      </c>
      <c r="E11">
        <v>10</v>
      </c>
      <c r="F11" s="19" t="s">
        <v>317</v>
      </c>
      <c r="G11" t="s">
        <v>473</v>
      </c>
      <c r="H11" s="19" t="s">
        <v>369</v>
      </c>
      <c r="I11" s="19" t="s">
        <v>397</v>
      </c>
    </row>
    <row r="12" spans="1:14">
      <c r="B12">
        <v>7</v>
      </c>
      <c r="C12" t="s">
        <v>256</v>
      </c>
      <c r="D12" s="17">
        <v>500</v>
      </c>
      <c r="E12">
        <v>10</v>
      </c>
      <c r="F12" s="19" t="s">
        <v>319</v>
      </c>
      <c r="G12" t="s">
        <v>343</v>
      </c>
      <c r="H12" s="19" t="s">
        <v>371</v>
      </c>
      <c r="I12" s="19" t="s">
        <v>399</v>
      </c>
    </row>
    <row r="13" spans="1:14">
      <c r="B13">
        <v>8</v>
      </c>
      <c r="C13" t="s">
        <v>257</v>
      </c>
      <c r="D13" s="17">
        <v>750</v>
      </c>
      <c r="E13">
        <v>20</v>
      </c>
      <c r="F13" s="19" t="s">
        <v>321</v>
      </c>
      <c r="G13" t="s">
        <v>345</v>
      </c>
      <c r="H13" s="19" t="s">
        <v>373</v>
      </c>
      <c r="I13" s="19" t="s">
        <v>401</v>
      </c>
    </row>
    <row r="15" spans="1:14">
      <c r="A15" t="s">
        <v>180</v>
      </c>
    </row>
    <row r="16" spans="1:14" ht="33">
      <c r="A16" t="s">
        <v>175</v>
      </c>
      <c r="B16" t="s">
        <v>8</v>
      </c>
      <c r="C16" t="s">
        <v>242</v>
      </c>
      <c r="D16" t="s">
        <v>102</v>
      </c>
      <c r="E16" t="s">
        <v>124</v>
      </c>
      <c r="F16" s="2" t="s">
        <v>444</v>
      </c>
      <c r="G16" s="2" t="s">
        <v>445</v>
      </c>
      <c r="H16" s="2" t="s">
        <v>446</v>
      </c>
      <c r="I16" s="2" t="s">
        <v>447</v>
      </c>
    </row>
    <row r="18" spans="3:5">
      <c r="E18" t="s">
        <v>522</v>
      </c>
    </row>
    <row r="19" spans="3:5">
      <c r="E19" t="s">
        <v>524</v>
      </c>
    </row>
    <row r="20" spans="3:5">
      <c r="E20" t="s">
        <v>523</v>
      </c>
    </row>
    <row r="25" spans="3:5">
      <c r="C25" s="11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13"/>
  <sheetViews>
    <sheetView zoomScale="55" zoomScaleNormal="55" workbookViewId="0"/>
  </sheetViews>
  <sheetFormatPr defaultColWidth="9" defaultRowHeight="16.5"/>
  <cols>
    <col min="1" max="1" width="10.5" bestFit="1" customWidth="1"/>
    <col min="2" max="3" width="15.625" customWidth="1"/>
    <col min="4" max="4" width="25.375" customWidth="1"/>
    <col min="5" max="5" width="14.125" bestFit="1" customWidth="1"/>
    <col min="6" max="12" width="15.625" customWidth="1"/>
    <col min="13" max="13" width="50.75" customWidth="1"/>
    <col min="14" max="14" width="36.375" bestFit="1" customWidth="1"/>
    <col min="15" max="15" width="25" customWidth="1"/>
    <col min="16" max="16" width="24.625" customWidth="1"/>
    <col min="17" max="17" width="36.375" bestFit="1" customWidth="1"/>
    <col min="18" max="18" width="39.375" bestFit="1" customWidth="1"/>
    <col min="19" max="19" width="61.75" bestFit="1" customWidth="1"/>
    <col min="20" max="20" width="46.125" bestFit="1" customWidth="1"/>
    <col min="21" max="21" width="15.625" customWidth="1"/>
    <col min="22" max="22" width="19.125" bestFit="1" customWidth="1"/>
    <col min="23" max="23" width="15.625" customWidth="1"/>
    <col min="24" max="24" width="41.625" customWidth="1"/>
    <col min="25" max="32" width="15.625" customWidth="1"/>
    <col min="33" max="33" width="19.125" bestFit="1" customWidth="1"/>
    <col min="34" max="34" width="70.25" customWidth="1"/>
    <col min="35" max="35" width="15.625" customWidth="1"/>
    <col min="36" max="36" width="25.125" bestFit="1" customWidth="1"/>
    <col min="37" max="37" width="17.625" bestFit="1" customWidth="1"/>
    <col min="38" max="65" width="15.625" customWidth="1"/>
  </cols>
  <sheetData>
    <row r="1" spans="1:39">
      <c r="A1" t="s">
        <v>175</v>
      </c>
    </row>
    <row r="2" spans="1:39">
      <c r="B2" s="47" t="s">
        <v>215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1:39">
      <c r="A4" t="s">
        <v>176</v>
      </c>
      <c r="B4" t="s">
        <v>19</v>
      </c>
      <c r="C4" t="s">
        <v>19</v>
      </c>
      <c r="D4" t="s">
        <v>19</v>
      </c>
      <c r="E4" t="s">
        <v>18</v>
      </c>
      <c r="F4" t="s">
        <v>18</v>
      </c>
      <c r="G4" t="s">
        <v>18</v>
      </c>
      <c r="H4" t="s">
        <v>177</v>
      </c>
      <c r="I4" t="s">
        <v>177</v>
      </c>
      <c r="J4" t="s">
        <v>177</v>
      </c>
      <c r="K4" t="s">
        <v>18</v>
      </c>
      <c r="L4" t="s">
        <v>19</v>
      </c>
      <c r="M4" t="s">
        <v>19</v>
      </c>
      <c r="N4" s="6" t="s">
        <v>18</v>
      </c>
      <c r="O4" s="6" t="s">
        <v>18</v>
      </c>
      <c r="P4" s="6" t="s">
        <v>18</v>
      </c>
      <c r="Q4" s="6" t="s">
        <v>18</v>
      </c>
      <c r="R4" s="6" t="s">
        <v>22</v>
      </c>
      <c r="S4" s="6" t="s">
        <v>18</v>
      </c>
      <c r="T4" s="6" t="s">
        <v>18</v>
      </c>
      <c r="U4" s="6" t="s">
        <v>177</v>
      </c>
      <c r="V4" s="6" t="s">
        <v>177</v>
      </c>
      <c r="W4" t="s">
        <v>19</v>
      </c>
      <c r="X4" t="s">
        <v>19</v>
      </c>
      <c r="Y4" s="6" t="s">
        <v>18</v>
      </c>
      <c r="Z4" s="6" t="s">
        <v>18</v>
      </c>
      <c r="AA4" s="6" t="s">
        <v>18</v>
      </c>
      <c r="AB4" s="6" t="s">
        <v>18</v>
      </c>
      <c r="AC4" s="6" t="s">
        <v>22</v>
      </c>
      <c r="AD4" s="6" t="s">
        <v>18</v>
      </c>
      <c r="AE4" s="6" t="s">
        <v>18</v>
      </c>
      <c r="AF4" s="6" t="s">
        <v>177</v>
      </c>
      <c r="AG4" s="6" t="s">
        <v>177</v>
      </c>
      <c r="AH4" s="6" t="s">
        <v>19</v>
      </c>
      <c r="AI4" s="6" t="s">
        <v>18</v>
      </c>
      <c r="AJ4" s="6" t="s">
        <v>18</v>
      </c>
      <c r="AK4" s="6" t="s">
        <v>18</v>
      </c>
      <c r="AL4" s="6" t="s">
        <v>18</v>
      </c>
      <c r="AM4" s="6" t="s">
        <v>18</v>
      </c>
    </row>
    <row r="5" spans="1:39">
      <c r="A5" t="s">
        <v>178</v>
      </c>
      <c r="B5" t="s">
        <v>20</v>
      </c>
      <c r="C5" t="s">
        <v>25</v>
      </c>
      <c r="D5" t="s">
        <v>38</v>
      </c>
      <c r="E5" t="s">
        <v>112</v>
      </c>
      <c r="F5" t="s">
        <v>111</v>
      </c>
      <c r="G5" t="s">
        <v>110</v>
      </c>
      <c r="H5" t="s">
        <v>1</v>
      </c>
      <c r="I5" t="s">
        <v>4</v>
      </c>
      <c r="J5" t="s">
        <v>36</v>
      </c>
      <c r="K5" t="s">
        <v>2</v>
      </c>
      <c r="L5" t="s">
        <v>39</v>
      </c>
      <c r="M5" t="s">
        <v>40</v>
      </c>
      <c r="N5" t="s">
        <v>64</v>
      </c>
      <c r="O5" t="s">
        <v>65</v>
      </c>
      <c r="P5" t="s">
        <v>120</v>
      </c>
      <c r="Q5" t="s">
        <v>66</v>
      </c>
      <c r="R5" t="s">
        <v>87</v>
      </c>
      <c r="S5" t="s">
        <v>88</v>
      </c>
      <c r="T5" t="s">
        <v>89</v>
      </c>
      <c r="U5" t="s">
        <v>67</v>
      </c>
      <c r="V5" t="s">
        <v>438</v>
      </c>
      <c r="W5" t="s">
        <v>43</v>
      </c>
      <c r="X5" t="s">
        <v>44</v>
      </c>
      <c r="Y5" t="s">
        <v>68</v>
      </c>
      <c r="Z5" t="s">
        <v>69</v>
      </c>
      <c r="AA5" t="s">
        <v>121</v>
      </c>
      <c r="AB5" t="s">
        <v>70</v>
      </c>
      <c r="AC5" t="s">
        <v>90</v>
      </c>
      <c r="AD5" t="s">
        <v>91</v>
      </c>
      <c r="AE5" t="s">
        <v>92</v>
      </c>
      <c r="AF5" t="s">
        <v>71</v>
      </c>
      <c r="AG5" t="s">
        <v>437</v>
      </c>
      <c r="AH5" t="s">
        <v>23</v>
      </c>
      <c r="AI5" t="s">
        <v>74</v>
      </c>
      <c r="AJ5" t="s">
        <v>429</v>
      </c>
      <c r="AK5" t="s">
        <v>132</v>
      </c>
      <c r="AL5" t="s">
        <v>430</v>
      </c>
      <c r="AM5" t="s">
        <v>431</v>
      </c>
    </row>
    <row r="6" spans="1:39" ht="49.5">
      <c r="A6" t="s">
        <v>179</v>
      </c>
      <c r="B6" s="36" t="s">
        <v>417</v>
      </c>
      <c r="C6" s="36" t="s">
        <v>490</v>
      </c>
      <c r="D6" s="36" t="s">
        <v>424</v>
      </c>
      <c r="E6" s="37">
        <v>6</v>
      </c>
      <c r="F6" s="37">
        <v>5</v>
      </c>
      <c r="G6" s="36">
        <v>5</v>
      </c>
      <c r="H6" s="38">
        <v>0.10000000149011599</v>
      </c>
      <c r="I6" s="38">
        <v>0.10000000149011599</v>
      </c>
      <c r="J6" s="38">
        <v>0.10000000149011599</v>
      </c>
      <c r="K6" s="36">
        <v>2</v>
      </c>
      <c r="L6" s="36" t="s">
        <v>476</v>
      </c>
      <c r="M6" s="39" t="s">
        <v>538</v>
      </c>
      <c r="N6" s="36">
        <v>0</v>
      </c>
      <c r="O6" s="36">
        <v>2</v>
      </c>
      <c r="P6" s="36">
        <v>1</v>
      </c>
      <c r="Q6" s="36">
        <v>0</v>
      </c>
      <c r="R6" s="36"/>
      <c r="S6" s="36"/>
      <c r="T6" s="36"/>
      <c r="U6" s="38">
        <v>1</v>
      </c>
      <c r="V6" s="38">
        <v>0</v>
      </c>
      <c r="W6" s="36"/>
      <c r="X6" s="39"/>
      <c r="Y6" s="36"/>
      <c r="Z6" s="36"/>
      <c r="AA6" s="36"/>
      <c r="AB6" s="36"/>
      <c r="AC6" s="36"/>
      <c r="AD6" s="36"/>
      <c r="AE6" s="36"/>
      <c r="AF6" s="38"/>
      <c r="AG6" s="38"/>
      <c r="AH6" s="2" t="s">
        <v>477</v>
      </c>
      <c r="AI6">
        <v>15</v>
      </c>
      <c r="AJ6">
        <v>5</v>
      </c>
      <c r="AK6">
        <v>1</v>
      </c>
      <c r="AL6">
        <v>4</v>
      </c>
      <c r="AM6">
        <v>1</v>
      </c>
    </row>
    <row r="7" spans="1:39" ht="99">
      <c r="B7" s="36" t="s">
        <v>418</v>
      </c>
      <c r="C7" s="36" t="s">
        <v>421</v>
      </c>
      <c r="D7" s="36" t="s">
        <v>459</v>
      </c>
      <c r="E7" s="37">
        <v>10</v>
      </c>
      <c r="F7" s="36">
        <v>6</v>
      </c>
      <c r="G7" s="36">
        <v>6</v>
      </c>
      <c r="H7" s="38">
        <v>0.10000000149011599</v>
      </c>
      <c r="I7" s="38">
        <v>0.10000000149011599</v>
      </c>
      <c r="J7" s="38">
        <v>0.25</v>
      </c>
      <c r="K7" s="36">
        <v>3</v>
      </c>
      <c r="L7" s="36" t="s">
        <v>432</v>
      </c>
      <c r="M7" s="39" t="s">
        <v>538</v>
      </c>
      <c r="N7" s="36">
        <v>0</v>
      </c>
      <c r="O7" s="36">
        <v>1</v>
      </c>
      <c r="P7" s="36">
        <v>1</v>
      </c>
      <c r="Q7" s="36">
        <v>0</v>
      </c>
      <c r="R7" s="36"/>
      <c r="S7" s="36">
        <v>0</v>
      </c>
      <c r="T7" s="36">
        <v>0</v>
      </c>
      <c r="U7" s="38">
        <v>1</v>
      </c>
      <c r="V7" s="38">
        <v>0</v>
      </c>
      <c r="W7" s="36" t="s">
        <v>478</v>
      </c>
      <c r="X7" s="39" t="s">
        <v>539</v>
      </c>
      <c r="Y7" s="36">
        <v>0</v>
      </c>
      <c r="Z7" s="36">
        <v>1</v>
      </c>
      <c r="AA7" s="36">
        <v>1</v>
      </c>
      <c r="AB7" s="36">
        <v>1</v>
      </c>
      <c r="AC7" s="36" t="s">
        <v>480</v>
      </c>
      <c r="AD7" s="36">
        <v>0</v>
      </c>
      <c r="AE7" s="36"/>
      <c r="AF7" s="38">
        <v>0.6</v>
      </c>
      <c r="AG7" s="38">
        <v>0</v>
      </c>
      <c r="AH7" s="2" t="s">
        <v>439</v>
      </c>
      <c r="AI7">
        <v>30</v>
      </c>
      <c r="AJ7">
        <v>10</v>
      </c>
      <c r="AK7">
        <v>3</v>
      </c>
      <c r="AL7">
        <v>4</v>
      </c>
      <c r="AM7">
        <v>1</v>
      </c>
    </row>
    <row r="8" spans="1:39" ht="66">
      <c r="B8" s="36" t="s">
        <v>419</v>
      </c>
      <c r="C8" s="36" t="s">
        <v>422</v>
      </c>
      <c r="D8" s="36" t="s">
        <v>425</v>
      </c>
      <c r="E8" s="37">
        <v>7</v>
      </c>
      <c r="F8" s="36">
        <v>6</v>
      </c>
      <c r="G8" s="36">
        <v>8</v>
      </c>
      <c r="H8" s="38">
        <v>0.10000000149011599</v>
      </c>
      <c r="I8" s="38">
        <v>0.25</v>
      </c>
      <c r="J8" s="38">
        <v>0.10000000149011599</v>
      </c>
      <c r="K8" s="36">
        <v>0</v>
      </c>
      <c r="L8" s="36" t="s">
        <v>435</v>
      </c>
      <c r="M8" s="39" t="s">
        <v>540</v>
      </c>
      <c r="N8" s="36">
        <v>0</v>
      </c>
      <c r="O8" s="36">
        <v>0</v>
      </c>
      <c r="P8" s="36">
        <v>0</v>
      </c>
      <c r="Q8" s="36">
        <v>0</v>
      </c>
      <c r="R8" s="36"/>
      <c r="S8" s="36">
        <v>0</v>
      </c>
      <c r="T8" s="36">
        <v>0</v>
      </c>
      <c r="U8" s="38">
        <v>0.80000001192092896</v>
      </c>
      <c r="V8" s="38">
        <v>0</v>
      </c>
      <c r="W8" s="36" t="s">
        <v>433</v>
      </c>
      <c r="X8" s="39" t="s">
        <v>492</v>
      </c>
      <c r="Y8" s="36">
        <v>0</v>
      </c>
      <c r="Z8" s="36">
        <v>0</v>
      </c>
      <c r="AA8" s="36">
        <v>0</v>
      </c>
      <c r="AB8" s="36">
        <v>0</v>
      </c>
      <c r="AC8" s="36"/>
      <c r="AD8" s="36">
        <v>0</v>
      </c>
      <c r="AE8" s="36">
        <v>0</v>
      </c>
      <c r="AF8" s="38">
        <v>0</v>
      </c>
      <c r="AG8" s="38">
        <v>0</v>
      </c>
      <c r="AH8" s="2" t="s">
        <v>481</v>
      </c>
      <c r="AI8">
        <v>30</v>
      </c>
      <c r="AJ8">
        <v>10</v>
      </c>
      <c r="AK8">
        <v>2</v>
      </c>
      <c r="AL8">
        <v>3</v>
      </c>
      <c r="AM8">
        <v>3</v>
      </c>
    </row>
    <row r="9" spans="1:39" s="25" customFormat="1" ht="82.5">
      <c r="B9" s="40" t="s">
        <v>420</v>
      </c>
      <c r="C9" s="40" t="s">
        <v>423</v>
      </c>
      <c r="D9" s="40" t="s">
        <v>426</v>
      </c>
      <c r="E9" s="37">
        <v>7</v>
      </c>
      <c r="F9" s="40">
        <v>12</v>
      </c>
      <c r="G9" s="40">
        <v>6</v>
      </c>
      <c r="H9" s="41">
        <v>0.20000000298023199</v>
      </c>
      <c r="I9" s="41">
        <v>0.15000000596046401</v>
      </c>
      <c r="J9" s="41">
        <v>0.15000000596046401</v>
      </c>
      <c r="K9" s="40">
        <v>2</v>
      </c>
      <c r="L9" s="40" t="s">
        <v>434</v>
      </c>
      <c r="M9" s="42" t="s">
        <v>541</v>
      </c>
      <c r="N9" s="40">
        <v>0</v>
      </c>
      <c r="O9" s="40">
        <v>1</v>
      </c>
      <c r="P9" s="40">
        <v>1</v>
      </c>
      <c r="Q9" s="40">
        <v>1</v>
      </c>
      <c r="R9" s="40" t="s">
        <v>482</v>
      </c>
      <c r="S9" s="40">
        <v>0</v>
      </c>
      <c r="T9" s="40">
        <v>0</v>
      </c>
      <c r="U9" s="41">
        <v>1.20000004768372</v>
      </c>
      <c r="V9" s="41">
        <v>1</v>
      </c>
      <c r="W9" s="40" t="s">
        <v>455</v>
      </c>
      <c r="X9" s="42" t="s">
        <v>455</v>
      </c>
      <c r="Y9" s="40">
        <v>0</v>
      </c>
      <c r="Z9" s="40">
        <v>0</v>
      </c>
      <c r="AA9" s="40">
        <v>0</v>
      </c>
      <c r="AB9" s="40">
        <v>0</v>
      </c>
      <c r="AC9" s="40"/>
      <c r="AD9" s="40">
        <v>0</v>
      </c>
      <c r="AE9" s="40">
        <v>0</v>
      </c>
      <c r="AF9" s="41">
        <v>0</v>
      </c>
      <c r="AG9" s="41">
        <v>0</v>
      </c>
      <c r="AH9" s="26" t="s">
        <v>483</v>
      </c>
      <c r="AI9" s="25">
        <v>60</v>
      </c>
      <c r="AJ9" s="25">
        <v>20</v>
      </c>
      <c r="AK9" s="25">
        <v>3</v>
      </c>
      <c r="AL9" s="25">
        <v>4</v>
      </c>
      <c r="AM9" s="25">
        <v>3</v>
      </c>
    </row>
    <row r="10" spans="1:39" ht="99">
      <c r="B10" s="36" t="s">
        <v>457</v>
      </c>
      <c r="C10" s="36" t="s">
        <v>458</v>
      </c>
      <c r="D10" s="36" t="s">
        <v>427</v>
      </c>
      <c r="E10" s="36">
        <v>100</v>
      </c>
      <c r="F10" s="36">
        <v>6</v>
      </c>
      <c r="G10" s="36">
        <v>6</v>
      </c>
      <c r="H10" s="38">
        <v>0.25</v>
      </c>
      <c r="I10" s="38">
        <v>0.20000000298023199</v>
      </c>
      <c r="J10" s="38">
        <v>0.20000000298023199</v>
      </c>
      <c r="K10" s="36">
        <v>1</v>
      </c>
      <c r="L10" s="36" t="s">
        <v>484</v>
      </c>
      <c r="M10" s="39" t="s">
        <v>538</v>
      </c>
      <c r="N10" s="36">
        <v>0</v>
      </c>
      <c r="O10" s="36">
        <v>1</v>
      </c>
      <c r="P10" s="36">
        <v>1</v>
      </c>
      <c r="Q10" s="36">
        <v>0</v>
      </c>
      <c r="R10" s="36"/>
      <c r="S10" s="36">
        <v>0</v>
      </c>
      <c r="T10" s="36">
        <v>0</v>
      </c>
      <c r="U10" s="38">
        <v>1</v>
      </c>
      <c r="V10" s="38">
        <v>0</v>
      </c>
      <c r="W10" s="36" t="s">
        <v>485</v>
      </c>
      <c r="X10" s="39" t="s">
        <v>542</v>
      </c>
      <c r="Y10" s="36">
        <v>0</v>
      </c>
      <c r="Z10" s="36">
        <v>0</v>
      </c>
      <c r="AA10" s="36">
        <v>0</v>
      </c>
      <c r="AB10" s="36">
        <v>1</v>
      </c>
      <c r="AC10" s="36" t="s">
        <v>486</v>
      </c>
      <c r="AD10" s="36">
        <v>1</v>
      </c>
      <c r="AE10" s="36">
        <v>1</v>
      </c>
      <c r="AF10" s="38">
        <v>1</v>
      </c>
      <c r="AG10" s="38">
        <v>0.8</v>
      </c>
      <c r="AH10" s="2" t="s">
        <v>487</v>
      </c>
      <c r="AI10">
        <v>80</v>
      </c>
      <c r="AJ10">
        <v>0</v>
      </c>
      <c r="AK10">
        <v>10</v>
      </c>
      <c r="AL10">
        <v>5</v>
      </c>
      <c r="AM10">
        <v>3</v>
      </c>
    </row>
    <row r="11" spans="1:39">
      <c r="AI11" s="21"/>
    </row>
    <row r="12" spans="1:39" ht="132">
      <c r="A12" t="s">
        <v>180</v>
      </c>
      <c r="B12" t="s">
        <v>37</v>
      </c>
      <c r="C12" t="s">
        <v>24</v>
      </c>
      <c r="D12" t="s">
        <v>216</v>
      </c>
      <c r="E12" t="s">
        <v>109</v>
      </c>
      <c r="F12" t="s">
        <v>100</v>
      </c>
      <c r="G12" t="s">
        <v>101</v>
      </c>
      <c r="H12" t="s">
        <v>7</v>
      </c>
      <c r="I12" t="s">
        <v>6</v>
      </c>
      <c r="J12" t="s">
        <v>5</v>
      </c>
      <c r="K12" t="s">
        <v>3</v>
      </c>
      <c r="L12" t="s">
        <v>46</v>
      </c>
      <c r="M12" t="s">
        <v>41</v>
      </c>
      <c r="N12" s="2" t="s">
        <v>436</v>
      </c>
      <c r="O12" s="2" t="s">
        <v>59</v>
      </c>
      <c r="P12" s="2" t="s">
        <v>123</v>
      </c>
      <c r="Q12" t="s">
        <v>60</v>
      </c>
      <c r="R12" t="s">
        <v>93</v>
      </c>
      <c r="S12" t="s">
        <v>94</v>
      </c>
      <c r="T12" t="s">
        <v>95</v>
      </c>
      <c r="U12" t="s">
        <v>63</v>
      </c>
      <c r="V12" t="s">
        <v>63</v>
      </c>
      <c r="W12" t="s">
        <v>47</v>
      </c>
      <c r="X12" t="s">
        <v>42</v>
      </c>
      <c r="Y12" s="2" t="s">
        <v>479</v>
      </c>
      <c r="Z12" s="2" t="s">
        <v>115</v>
      </c>
      <c r="AA12" s="2" t="s">
        <v>122</v>
      </c>
      <c r="AB12" s="2" t="s">
        <v>61</v>
      </c>
      <c r="AC12" s="2" t="s">
        <v>96</v>
      </c>
      <c r="AD12" s="2" t="s">
        <v>97</v>
      </c>
      <c r="AE12" s="2" t="s">
        <v>98</v>
      </c>
      <c r="AF12" t="s">
        <v>62</v>
      </c>
      <c r="AG12" t="s">
        <v>62</v>
      </c>
      <c r="AH12" t="s">
        <v>45</v>
      </c>
      <c r="AI12" t="s">
        <v>73</v>
      </c>
      <c r="AJ12" t="s">
        <v>428</v>
      </c>
      <c r="AK12" t="s">
        <v>279</v>
      </c>
      <c r="AL12" t="s">
        <v>280</v>
      </c>
      <c r="AM12" t="s">
        <v>281</v>
      </c>
    </row>
    <row r="13" spans="1:39">
      <c r="A13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45"/>
  <sheetViews>
    <sheetView zoomScale="115" zoomScaleNormal="115" workbookViewId="0"/>
  </sheetViews>
  <sheetFormatPr defaultColWidth="9" defaultRowHeight="16.5"/>
  <cols>
    <col min="1" max="1" width="10.5" style="11" bestFit="1" customWidth="1"/>
    <col min="2" max="2" width="15.625" style="11" customWidth="1"/>
    <col min="3" max="3" width="40.125" style="11" bestFit="1" customWidth="1"/>
    <col min="4" max="4" width="8.875" style="11" bestFit="1" customWidth="1"/>
    <col min="5" max="5" width="10.625" style="11" bestFit="1" customWidth="1"/>
    <col min="6" max="6" width="8.875" style="11" bestFit="1" customWidth="1"/>
    <col min="7" max="7" width="10.625" style="11" bestFit="1" customWidth="1"/>
    <col min="8" max="8" width="10.75" style="11" bestFit="1" customWidth="1"/>
    <col min="9" max="9" width="10.625" style="11" bestFit="1" customWidth="1"/>
    <col min="10" max="10" width="8.875" style="11" bestFit="1" customWidth="1"/>
    <col min="11" max="11" width="10.625" style="11" bestFit="1" customWidth="1"/>
    <col min="12" max="12" width="8.875" style="11" bestFit="1" customWidth="1"/>
    <col min="13" max="13" width="10.625" style="11" bestFit="1" customWidth="1"/>
    <col min="14" max="14" width="8.875" style="11" bestFit="1" customWidth="1"/>
    <col min="15" max="15" width="10.625" style="11" bestFit="1" customWidth="1"/>
    <col min="16" max="38" width="15.625" style="11" customWidth="1"/>
    <col min="39" max="16384" width="9" style="11"/>
  </cols>
  <sheetData>
    <row r="1" spans="1:17">
      <c r="A1" s="11" t="s">
        <v>175</v>
      </c>
    </row>
    <row r="2" spans="1:17">
      <c r="B2" s="48" t="s">
        <v>258</v>
      </c>
      <c r="C2" s="48"/>
      <c r="D2" s="48"/>
    </row>
    <row r="4" spans="1:17">
      <c r="A4" s="11" t="s">
        <v>176</v>
      </c>
      <c r="B4" s="15" t="s">
        <v>19</v>
      </c>
      <c r="C4" s="15" t="s">
        <v>19</v>
      </c>
      <c r="D4" s="15" t="s">
        <v>19</v>
      </c>
      <c r="E4" s="11" t="s">
        <v>18</v>
      </c>
      <c r="F4" s="15" t="s">
        <v>19</v>
      </c>
      <c r="G4" s="11" t="s">
        <v>18</v>
      </c>
      <c r="H4" s="15" t="s">
        <v>19</v>
      </c>
      <c r="I4" s="11" t="s">
        <v>18</v>
      </c>
      <c r="J4" s="15" t="s">
        <v>19</v>
      </c>
      <c r="K4" s="11" t="s">
        <v>18</v>
      </c>
      <c r="L4" s="15" t="s">
        <v>19</v>
      </c>
      <c r="M4" s="11" t="s">
        <v>18</v>
      </c>
      <c r="N4" s="15" t="s">
        <v>19</v>
      </c>
      <c r="O4" s="11" t="s">
        <v>18</v>
      </c>
      <c r="P4" s="15" t="s">
        <v>18</v>
      </c>
      <c r="Q4" s="15" t="s">
        <v>18</v>
      </c>
    </row>
    <row r="5" spans="1:17">
      <c r="A5" s="11" t="s">
        <v>178</v>
      </c>
      <c r="B5" s="11" t="s">
        <v>20</v>
      </c>
      <c r="C5" s="11" t="s">
        <v>272</v>
      </c>
      <c r="D5" s="15" t="s">
        <v>259</v>
      </c>
      <c r="E5" s="11" t="s">
        <v>260</v>
      </c>
      <c r="F5" s="11" t="s">
        <v>261</v>
      </c>
      <c r="G5" s="11" t="s">
        <v>262</v>
      </c>
      <c r="H5" s="11" t="s">
        <v>263</v>
      </c>
      <c r="I5" s="11" t="s">
        <v>264</v>
      </c>
      <c r="J5" s="11" t="s">
        <v>265</v>
      </c>
      <c r="K5" s="11" t="s">
        <v>266</v>
      </c>
      <c r="L5" s="11" t="s">
        <v>267</v>
      </c>
      <c r="M5" s="11" t="s">
        <v>268</v>
      </c>
      <c r="N5" s="15" t="s">
        <v>456</v>
      </c>
      <c r="O5" s="15" t="s">
        <v>460</v>
      </c>
      <c r="P5" s="15" t="s">
        <v>273</v>
      </c>
      <c r="Q5" s="15" t="s">
        <v>274</v>
      </c>
    </row>
    <row r="6" spans="1:17">
      <c r="A6" s="11" t="s">
        <v>179</v>
      </c>
      <c r="B6" s="15" t="s">
        <v>512</v>
      </c>
      <c r="C6" s="15" t="s">
        <v>514</v>
      </c>
      <c r="D6" s="15" t="s">
        <v>461</v>
      </c>
      <c r="E6" s="11">
        <v>1</v>
      </c>
      <c r="F6" s="15" t="s">
        <v>461</v>
      </c>
      <c r="G6" s="11">
        <v>3</v>
      </c>
      <c r="H6" s="15" t="s">
        <v>461</v>
      </c>
      <c r="I6" s="11">
        <v>5</v>
      </c>
      <c r="J6" s="15"/>
      <c r="P6" s="11">
        <v>1</v>
      </c>
      <c r="Q6" s="11">
        <v>1</v>
      </c>
    </row>
    <row r="7" spans="1:17">
      <c r="B7" s="15" t="s">
        <v>511</v>
      </c>
      <c r="C7" s="15" t="s">
        <v>513</v>
      </c>
      <c r="D7" s="15" t="s">
        <v>543</v>
      </c>
      <c r="E7" s="11">
        <v>4</v>
      </c>
      <c r="F7" s="15" t="s">
        <v>543</v>
      </c>
      <c r="G7" s="11">
        <v>5</v>
      </c>
      <c r="H7" s="15" t="s">
        <v>544</v>
      </c>
      <c r="I7" s="11">
        <v>2</v>
      </c>
      <c r="J7" s="15"/>
      <c r="P7" s="11">
        <v>1</v>
      </c>
      <c r="Q7" s="11">
        <v>1</v>
      </c>
    </row>
    <row r="8" spans="1:17">
      <c r="B8" s="15" t="s">
        <v>494</v>
      </c>
      <c r="C8" s="15" t="s">
        <v>548</v>
      </c>
      <c r="D8" s="15" t="s">
        <v>545</v>
      </c>
      <c r="E8" s="11">
        <v>1</v>
      </c>
      <c r="F8" s="15" t="s">
        <v>461</v>
      </c>
      <c r="G8" s="11">
        <v>3</v>
      </c>
      <c r="H8" s="15" t="s">
        <v>546</v>
      </c>
      <c r="I8" s="11">
        <v>4</v>
      </c>
      <c r="J8" s="11" t="s">
        <v>544</v>
      </c>
      <c r="K8" s="11">
        <v>6</v>
      </c>
      <c r="P8" s="11">
        <v>1</v>
      </c>
      <c r="Q8" s="11">
        <v>1</v>
      </c>
    </row>
    <row r="9" spans="1:17">
      <c r="B9" s="15" t="s">
        <v>496</v>
      </c>
      <c r="C9" s="15" t="s">
        <v>549</v>
      </c>
      <c r="D9" s="15" t="s">
        <v>461</v>
      </c>
      <c r="E9" s="11">
        <v>1</v>
      </c>
      <c r="F9" s="15" t="s">
        <v>461</v>
      </c>
      <c r="G9" s="11">
        <v>3</v>
      </c>
      <c r="H9" s="15" t="s">
        <v>543</v>
      </c>
      <c r="I9" s="11">
        <v>5</v>
      </c>
      <c r="J9" s="11" t="s">
        <v>544</v>
      </c>
      <c r="K9" s="11">
        <v>2</v>
      </c>
      <c r="P9" s="11">
        <v>1</v>
      </c>
      <c r="Q9" s="11">
        <v>1</v>
      </c>
    </row>
    <row r="10" spans="1:17">
      <c r="B10" s="15" t="s">
        <v>515</v>
      </c>
      <c r="C10" s="15" t="s">
        <v>550</v>
      </c>
      <c r="D10" s="15" t="s">
        <v>543</v>
      </c>
      <c r="E10" s="11">
        <v>5</v>
      </c>
      <c r="F10" s="15" t="s">
        <v>544</v>
      </c>
      <c r="G10" s="11">
        <v>1</v>
      </c>
      <c r="H10" s="15" t="s">
        <v>544</v>
      </c>
      <c r="I10" s="11">
        <v>2</v>
      </c>
      <c r="J10" s="15" t="s">
        <v>544</v>
      </c>
      <c r="K10" s="11">
        <v>3</v>
      </c>
      <c r="P10" s="11">
        <v>2</v>
      </c>
      <c r="Q10" s="11">
        <v>2</v>
      </c>
    </row>
    <row r="11" spans="1:17">
      <c r="B11" s="15" t="s">
        <v>498</v>
      </c>
      <c r="C11" s="15" t="s">
        <v>551</v>
      </c>
      <c r="D11" s="15" t="s">
        <v>543</v>
      </c>
      <c r="E11" s="11">
        <v>4</v>
      </c>
      <c r="F11" s="15" t="s">
        <v>543</v>
      </c>
      <c r="G11" s="11">
        <v>6</v>
      </c>
      <c r="H11" s="15" t="s">
        <v>544</v>
      </c>
      <c r="I11" s="11">
        <v>1</v>
      </c>
      <c r="J11" s="15" t="s">
        <v>544</v>
      </c>
      <c r="K11" s="11">
        <v>3</v>
      </c>
      <c r="P11" s="11">
        <v>2</v>
      </c>
      <c r="Q11" s="11">
        <v>2</v>
      </c>
    </row>
    <row r="12" spans="1:17">
      <c r="B12" s="15" t="s">
        <v>499</v>
      </c>
      <c r="C12" s="15" t="s">
        <v>552</v>
      </c>
      <c r="D12" s="15" t="s">
        <v>461</v>
      </c>
      <c r="E12" s="11">
        <v>1</v>
      </c>
      <c r="F12" s="15" t="s">
        <v>461</v>
      </c>
      <c r="G12" s="11">
        <v>3</v>
      </c>
      <c r="H12" s="15" t="s">
        <v>543</v>
      </c>
      <c r="I12" s="11">
        <v>4</v>
      </c>
      <c r="J12" s="15" t="s">
        <v>543</v>
      </c>
      <c r="K12" s="11">
        <v>6</v>
      </c>
      <c r="L12" s="15" t="s">
        <v>544</v>
      </c>
      <c r="M12" s="11">
        <v>2</v>
      </c>
      <c r="P12" s="11">
        <v>2</v>
      </c>
      <c r="Q12" s="11">
        <v>2</v>
      </c>
    </row>
    <row r="13" spans="1:17">
      <c r="B13" s="43" t="s">
        <v>553</v>
      </c>
      <c r="C13" s="15" t="s">
        <v>554</v>
      </c>
      <c r="D13" t="s">
        <v>547</v>
      </c>
      <c r="E13" s="11">
        <v>2</v>
      </c>
      <c r="F13" s="15"/>
      <c r="H13" s="15"/>
      <c r="J13" s="15"/>
      <c r="P13" s="11">
        <v>4</v>
      </c>
      <c r="Q13" s="11">
        <v>4</v>
      </c>
    </row>
    <row r="14" spans="1:17">
      <c r="B14" s="21" t="s">
        <v>555</v>
      </c>
      <c r="C14" s="15" t="s">
        <v>556</v>
      </c>
      <c r="D14" s="15" t="s">
        <v>545</v>
      </c>
      <c r="E14" s="11">
        <v>1</v>
      </c>
      <c r="F14" s="15" t="s">
        <v>461</v>
      </c>
      <c r="G14" s="11">
        <v>3</v>
      </c>
      <c r="H14" s="15" t="s">
        <v>461</v>
      </c>
      <c r="I14" s="11">
        <v>4</v>
      </c>
      <c r="J14" s="15" t="s">
        <v>461</v>
      </c>
      <c r="K14" s="11">
        <v>6</v>
      </c>
      <c r="L14" s="15" t="s">
        <v>543</v>
      </c>
      <c r="M14" s="11">
        <v>5</v>
      </c>
      <c r="N14" s="11" t="s">
        <v>557</v>
      </c>
      <c r="O14" s="11">
        <v>2</v>
      </c>
      <c r="P14" s="11">
        <v>4</v>
      </c>
      <c r="Q14" s="11">
        <v>4</v>
      </c>
    </row>
    <row r="15" spans="1:17">
      <c r="B15" s="43" t="s">
        <v>558</v>
      </c>
      <c r="C15" s="15" t="s">
        <v>559</v>
      </c>
      <c r="D15" s="15" t="s">
        <v>545</v>
      </c>
      <c r="E15" s="11">
        <v>2</v>
      </c>
      <c r="F15" s="15" t="s">
        <v>461</v>
      </c>
      <c r="G15" s="11">
        <v>4</v>
      </c>
      <c r="H15" s="15" t="s">
        <v>543</v>
      </c>
      <c r="I15" s="11">
        <v>6</v>
      </c>
      <c r="J15" s="15" t="s">
        <v>544</v>
      </c>
      <c r="K15" s="11">
        <v>1</v>
      </c>
      <c r="L15" s="15" t="s">
        <v>544</v>
      </c>
      <c r="M15" s="11">
        <v>3</v>
      </c>
      <c r="P15" s="11">
        <v>4</v>
      </c>
      <c r="Q15" s="11">
        <v>4</v>
      </c>
    </row>
    <row r="16" spans="1:17">
      <c r="B16" s="21" t="s">
        <v>560</v>
      </c>
      <c r="C16" s="15" t="s">
        <v>561</v>
      </c>
      <c r="D16" s="15" t="s">
        <v>546</v>
      </c>
      <c r="E16" s="11">
        <v>2</v>
      </c>
      <c r="F16" s="15" t="s">
        <v>543</v>
      </c>
      <c r="G16" s="11">
        <v>4</v>
      </c>
      <c r="H16" s="15" t="s">
        <v>543</v>
      </c>
      <c r="I16" s="11">
        <v>6</v>
      </c>
      <c r="J16" s="15" t="s">
        <v>544</v>
      </c>
      <c r="K16" s="11">
        <v>1</v>
      </c>
      <c r="L16" s="15" t="s">
        <v>544</v>
      </c>
      <c r="M16" s="11">
        <v>3</v>
      </c>
      <c r="N16" s="15" t="s">
        <v>544</v>
      </c>
      <c r="O16" s="11">
        <v>5</v>
      </c>
      <c r="P16" s="11">
        <v>4</v>
      </c>
      <c r="Q16" s="11">
        <v>4</v>
      </c>
    </row>
    <row r="17" spans="1:17">
      <c r="B17" s="21" t="s">
        <v>562</v>
      </c>
      <c r="C17" t="s">
        <v>563</v>
      </c>
      <c r="D17" s="15" t="s">
        <v>545</v>
      </c>
      <c r="E17" s="11">
        <v>4</v>
      </c>
      <c r="F17" s="15" t="s">
        <v>461</v>
      </c>
      <c r="G17" s="11">
        <v>6</v>
      </c>
      <c r="H17" s="44" t="s">
        <v>543</v>
      </c>
      <c r="I17" s="11">
        <v>5</v>
      </c>
      <c r="J17" s="15" t="s">
        <v>544</v>
      </c>
      <c r="K17" s="11">
        <v>1</v>
      </c>
      <c r="L17" t="s">
        <v>544</v>
      </c>
      <c r="M17">
        <v>3</v>
      </c>
      <c r="N17"/>
      <c r="O17"/>
      <c r="P17" s="11">
        <v>4</v>
      </c>
      <c r="Q17" s="11">
        <v>4</v>
      </c>
    </row>
    <row r="19" spans="1:17">
      <c r="A19" s="11" t="s">
        <v>180</v>
      </c>
      <c r="B19" s="11" t="s">
        <v>37</v>
      </c>
      <c r="C19" s="15" t="s">
        <v>276</v>
      </c>
      <c r="D19" s="16" t="s">
        <v>275</v>
      </c>
      <c r="E19" s="12" t="s">
        <v>269</v>
      </c>
      <c r="F19" s="16" t="s">
        <v>275</v>
      </c>
      <c r="G19" s="12" t="s">
        <v>269</v>
      </c>
      <c r="H19" s="16" t="s">
        <v>275</v>
      </c>
      <c r="I19" s="12" t="s">
        <v>269</v>
      </c>
      <c r="J19" s="16" t="s">
        <v>275</v>
      </c>
      <c r="K19" s="12" t="s">
        <v>269</v>
      </c>
      <c r="L19" s="16" t="s">
        <v>275</v>
      </c>
      <c r="M19" s="12" t="s">
        <v>269</v>
      </c>
      <c r="N19" s="16" t="s">
        <v>275</v>
      </c>
      <c r="O19" s="12" t="s">
        <v>269</v>
      </c>
      <c r="P19" s="15" t="s">
        <v>277</v>
      </c>
      <c r="Q19" s="15" t="s">
        <v>278</v>
      </c>
    </row>
    <row r="20" spans="1:17">
      <c r="A20" s="11" t="s">
        <v>175</v>
      </c>
    </row>
    <row r="21" spans="1:17">
      <c r="B21" t="s">
        <v>417</v>
      </c>
      <c r="C21" t="s">
        <v>490</v>
      </c>
      <c r="E21" s="13">
        <v>1</v>
      </c>
      <c r="F21" s="13">
        <v>4</v>
      </c>
    </row>
    <row r="22" spans="1:17">
      <c r="B22" t="s">
        <v>418</v>
      </c>
      <c r="C22" t="s">
        <v>421</v>
      </c>
      <c r="E22" s="13">
        <v>2</v>
      </c>
      <c r="F22" s="13">
        <v>5</v>
      </c>
    </row>
    <row r="23" spans="1:17">
      <c r="B23" t="s">
        <v>419</v>
      </c>
      <c r="C23" t="s">
        <v>422</v>
      </c>
      <c r="E23" s="13">
        <v>3</v>
      </c>
      <c r="F23" s="13">
        <v>6</v>
      </c>
    </row>
    <row r="24" spans="1:17">
      <c r="B24" s="25" t="s">
        <v>420</v>
      </c>
      <c r="C24" s="25" t="s">
        <v>423</v>
      </c>
    </row>
    <row r="25" spans="1:17">
      <c r="B25" t="s">
        <v>457</v>
      </c>
      <c r="C25" t="s">
        <v>458</v>
      </c>
    </row>
    <row r="27" spans="1:17">
      <c r="B27" s="11" t="s">
        <v>493</v>
      </c>
      <c r="C27" s="13">
        <v>1</v>
      </c>
      <c r="D27" s="28" t="s">
        <v>505</v>
      </c>
      <c r="F27" s="11" t="s">
        <v>500</v>
      </c>
      <c r="G27" s="13">
        <v>1</v>
      </c>
      <c r="H27" s="13">
        <v>4</v>
      </c>
    </row>
    <row r="28" spans="1:17">
      <c r="C28" s="28" t="s">
        <v>507</v>
      </c>
      <c r="D28" s="13">
        <v>5</v>
      </c>
      <c r="G28" s="28" t="s">
        <v>508</v>
      </c>
      <c r="H28" s="13">
        <v>5</v>
      </c>
    </row>
    <row r="29" spans="1:17">
      <c r="C29" s="13">
        <v>3</v>
      </c>
      <c r="D29" s="28" t="s">
        <v>505</v>
      </c>
      <c r="G29" s="13">
        <v>3</v>
      </c>
      <c r="H29" s="13">
        <v>6</v>
      </c>
    </row>
    <row r="31" spans="1:17">
      <c r="B31" s="11" t="s">
        <v>495</v>
      </c>
      <c r="C31" s="13">
        <v>1</v>
      </c>
      <c r="D31" s="13">
        <v>4</v>
      </c>
      <c r="F31" s="11" t="s">
        <v>501</v>
      </c>
      <c r="G31" s="28" t="s">
        <v>507</v>
      </c>
      <c r="H31" s="28" t="s">
        <v>505</v>
      </c>
    </row>
    <row r="32" spans="1:17">
      <c r="C32" s="28" t="s">
        <v>507</v>
      </c>
      <c r="D32" s="28" t="s">
        <v>506</v>
      </c>
      <c r="G32" s="28" t="s">
        <v>507</v>
      </c>
      <c r="H32" s="13">
        <v>5</v>
      </c>
    </row>
    <row r="33" spans="2:8">
      <c r="C33" s="13">
        <v>3</v>
      </c>
      <c r="D33" s="13">
        <v>6</v>
      </c>
      <c r="G33" s="28" t="s">
        <v>507</v>
      </c>
      <c r="H33" s="28" t="s">
        <v>505</v>
      </c>
    </row>
    <row r="35" spans="2:8">
      <c r="B35" s="11" t="s">
        <v>497</v>
      </c>
      <c r="C35" s="28" t="s">
        <v>507</v>
      </c>
      <c r="D35" s="13">
        <v>4</v>
      </c>
      <c r="F35" s="11" t="s">
        <v>502</v>
      </c>
      <c r="G35" s="28" t="s">
        <v>505</v>
      </c>
      <c r="H35" s="28" t="s">
        <v>506</v>
      </c>
    </row>
    <row r="36" spans="2:8">
      <c r="C36" s="28" t="s">
        <v>507</v>
      </c>
      <c r="D36" s="28" t="s">
        <v>506</v>
      </c>
      <c r="G36" s="28" t="s">
        <v>507</v>
      </c>
      <c r="H36" s="28">
        <v>5</v>
      </c>
    </row>
    <row r="37" spans="2:8">
      <c r="C37" s="28" t="s">
        <v>507</v>
      </c>
      <c r="D37" s="13">
        <v>6</v>
      </c>
      <c r="G37" s="28" t="s">
        <v>505</v>
      </c>
      <c r="H37" s="28" t="s">
        <v>506</v>
      </c>
    </row>
    <row r="39" spans="2:8">
      <c r="B39" s="11" t="s">
        <v>498</v>
      </c>
      <c r="C39" s="28" t="s">
        <v>507</v>
      </c>
      <c r="D39" s="28" t="s">
        <v>506</v>
      </c>
      <c r="F39" s="11" t="s">
        <v>503</v>
      </c>
      <c r="G39" s="28" t="s">
        <v>507</v>
      </c>
      <c r="H39" s="28" t="s">
        <v>506</v>
      </c>
    </row>
    <row r="40" spans="2:8">
      <c r="C40" s="13">
        <v>2</v>
      </c>
      <c r="D40" s="13">
        <v>5</v>
      </c>
      <c r="G40" s="28" t="s">
        <v>505</v>
      </c>
      <c r="H40" s="28" t="s">
        <v>505</v>
      </c>
    </row>
    <row r="41" spans="2:8">
      <c r="C41" s="28" t="s">
        <v>507</v>
      </c>
      <c r="D41" s="28" t="s">
        <v>506</v>
      </c>
      <c r="G41" s="28" t="s">
        <v>507</v>
      </c>
      <c r="H41" s="28" t="s">
        <v>506</v>
      </c>
    </row>
    <row r="43" spans="2:8">
      <c r="B43" s="11" t="s">
        <v>499</v>
      </c>
      <c r="C43" s="28" t="s">
        <v>516</v>
      </c>
      <c r="D43" s="28" t="s">
        <v>418</v>
      </c>
      <c r="F43" s="11" t="s">
        <v>504</v>
      </c>
      <c r="G43" s="13">
        <v>1</v>
      </c>
      <c r="H43" s="28" t="s">
        <v>507</v>
      </c>
    </row>
    <row r="44" spans="2:8">
      <c r="C44" s="28" t="s">
        <v>507</v>
      </c>
      <c r="D44" s="28">
        <v>5</v>
      </c>
      <c r="G44" s="28" t="s">
        <v>508</v>
      </c>
      <c r="H44" s="13">
        <v>5</v>
      </c>
    </row>
    <row r="45" spans="2:8">
      <c r="C45" s="28" t="s">
        <v>516</v>
      </c>
      <c r="D45" s="28" t="s">
        <v>506</v>
      </c>
      <c r="G45" s="13">
        <v>3</v>
      </c>
      <c r="H45" s="28" t="s">
        <v>506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ColWidth="9" defaultRowHeight="16.5"/>
  <cols>
    <col min="1" max="1" width="10.5" bestFit="1" customWidth="1"/>
    <col min="2" max="4" width="15.625" customWidth="1"/>
    <col min="5" max="5" width="33.375" bestFit="1" customWidth="1"/>
    <col min="6" max="6" width="192.375" bestFit="1" customWidth="1"/>
    <col min="7" max="7" width="15.625" customWidth="1"/>
    <col min="8" max="8" width="27.625" customWidth="1"/>
    <col min="9" max="12" width="15.625" customWidth="1"/>
    <col min="13" max="13" width="37.75" bestFit="1" customWidth="1"/>
    <col min="14" max="14" width="44.875" bestFit="1" customWidth="1"/>
    <col min="15" max="15" width="25" customWidth="1"/>
    <col min="16" max="16" width="24.625" customWidth="1"/>
    <col min="17" max="17" width="24.375" customWidth="1"/>
    <col min="18" max="18" width="22.875" bestFit="1" customWidth="1"/>
    <col min="19" max="19" width="15.625" customWidth="1"/>
    <col min="20" max="20" width="22.875" bestFit="1" customWidth="1"/>
    <col min="21" max="62" width="15.625" customWidth="1"/>
  </cols>
  <sheetData>
    <row r="1" spans="1:26">
      <c r="A1" t="s">
        <v>175</v>
      </c>
    </row>
    <row r="2" spans="1:26">
      <c r="B2" s="45" t="s">
        <v>217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26">
      <c r="A4" s="5" t="s">
        <v>176</v>
      </c>
      <c r="B4" s="5" t="s">
        <v>19</v>
      </c>
      <c r="C4" s="5" t="s">
        <v>19</v>
      </c>
      <c r="D4" s="5" t="s">
        <v>18</v>
      </c>
      <c r="E4" s="5" t="s">
        <v>19</v>
      </c>
      <c r="F4" s="5" t="s">
        <v>19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22</v>
      </c>
      <c r="M4" s="6" t="s">
        <v>18</v>
      </c>
      <c r="N4" s="6" t="s">
        <v>18</v>
      </c>
      <c r="O4" s="5" t="s">
        <v>177</v>
      </c>
      <c r="P4" s="5" t="s">
        <v>177</v>
      </c>
      <c r="Q4" s="5" t="s">
        <v>177</v>
      </c>
      <c r="R4" s="5" t="s">
        <v>177</v>
      </c>
      <c r="S4" s="5" t="s">
        <v>177</v>
      </c>
      <c r="T4" s="5" t="s">
        <v>177</v>
      </c>
      <c r="U4" s="5" t="s">
        <v>177</v>
      </c>
      <c r="V4" s="5" t="s">
        <v>177</v>
      </c>
      <c r="W4" s="5" t="s">
        <v>177</v>
      </c>
      <c r="X4" s="5" t="s">
        <v>177</v>
      </c>
      <c r="Y4" s="5" t="s">
        <v>19</v>
      </c>
      <c r="Z4" s="5" t="s">
        <v>19</v>
      </c>
    </row>
    <row r="5" spans="1:26">
      <c r="A5" s="5" t="s">
        <v>178</v>
      </c>
      <c r="B5" t="s">
        <v>13</v>
      </c>
      <c r="C5" t="s">
        <v>0</v>
      </c>
      <c r="D5" t="s">
        <v>173</v>
      </c>
      <c r="E5" t="s">
        <v>9</v>
      </c>
      <c r="F5" t="s">
        <v>11</v>
      </c>
      <c r="G5" t="s">
        <v>113</v>
      </c>
      <c r="H5" t="s">
        <v>56</v>
      </c>
      <c r="I5" t="s">
        <v>57</v>
      </c>
      <c r="J5" t="s">
        <v>117</v>
      </c>
      <c r="K5" t="s">
        <v>58</v>
      </c>
      <c r="L5" t="s">
        <v>75</v>
      </c>
      <c r="M5" t="s">
        <v>76</v>
      </c>
      <c r="N5" t="s">
        <v>77</v>
      </c>
      <c r="O5" t="s">
        <v>157</v>
      </c>
      <c r="P5" t="s">
        <v>156</v>
      </c>
      <c r="Q5" t="s">
        <v>158</v>
      </c>
      <c r="R5" t="s">
        <v>159</v>
      </c>
      <c r="S5" t="s">
        <v>160</v>
      </c>
      <c r="T5" t="s">
        <v>161</v>
      </c>
      <c r="U5" t="s">
        <v>162</v>
      </c>
      <c r="V5" t="s">
        <v>163</v>
      </c>
      <c r="W5" t="s">
        <v>218</v>
      </c>
      <c r="X5" t="s">
        <v>219</v>
      </c>
      <c r="Y5" t="s">
        <v>331</v>
      </c>
      <c r="Z5" t="s">
        <v>336</v>
      </c>
    </row>
    <row r="6" spans="1:26">
      <c r="A6" s="5" t="s">
        <v>179</v>
      </c>
      <c r="B6" t="s">
        <v>310</v>
      </c>
      <c r="C6" t="s">
        <v>308</v>
      </c>
      <c r="D6">
        <v>1</v>
      </c>
      <c r="E6" t="s">
        <v>323</v>
      </c>
      <c r="F6" s="17" t="s">
        <v>567</v>
      </c>
      <c r="G6">
        <v>0</v>
      </c>
      <c r="H6">
        <v>0</v>
      </c>
      <c r="I6">
        <v>0</v>
      </c>
      <c r="J6">
        <v>0</v>
      </c>
      <c r="K6">
        <v>0</v>
      </c>
      <c r="O6" s="1">
        <v>1</v>
      </c>
      <c r="P6" s="1"/>
      <c r="Q6" s="27">
        <f>O6+10%</f>
        <v>1.1000000000000001</v>
      </c>
      <c r="R6" s="27"/>
      <c r="S6" s="1">
        <f>Q6+10%</f>
        <v>1.2000000000000002</v>
      </c>
      <c r="T6" s="27"/>
      <c r="U6" s="27">
        <f>S6+10%</f>
        <v>1.3000000000000003</v>
      </c>
      <c r="V6" s="27"/>
      <c r="W6" s="1">
        <f>U6+10%</f>
        <v>1.4000000000000004</v>
      </c>
      <c r="X6" s="27"/>
      <c r="Z6" t="s">
        <v>332</v>
      </c>
    </row>
    <row r="7" spans="1:26">
      <c r="A7" s="5"/>
      <c r="B7" t="s">
        <v>312</v>
      </c>
      <c r="C7" t="s">
        <v>308</v>
      </c>
      <c r="D7">
        <v>2</v>
      </c>
      <c r="E7" t="s">
        <v>325</v>
      </c>
      <c r="F7" s="17" t="s">
        <v>568</v>
      </c>
      <c r="G7">
        <v>0</v>
      </c>
      <c r="H7">
        <v>0</v>
      </c>
      <c r="I7">
        <v>0</v>
      </c>
      <c r="J7">
        <v>0</v>
      </c>
      <c r="K7">
        <v>0</v>
      </c>
      <c r="L7" t="s">
        <v>131</v>
      </c>
      <c r="M7">
        <v>0</v>
      </c>
      <c r="O7" s="35">
        <v>0.8</v>
      </c>
      <c r="P7" s="35">
        <v>0.4</v>
      </c>
      <c r="Q7" s="27">
        <f t="shared" ref="Q7:Q37" si="0">O7+10%</f>
        <v>0.9</v>
      </c>
      <c r="R7" s="27">
        <f t="shared" ref="R7:X37" si="1">P7+10%</f>
        <v>0.5</v>
      </c>
      <c r="S7" s="1">
        <f t="shared" ref="S7:S37" si="2">Q7+10%</f>
        <v>1</v>
      </c>
      <c r="T7" s="27">
        <f t="shared" si="1"/>
        <v>0.6</v>
      </c>
      <c r="U7" s="27">
        <f t="shared" ref="U7:U37" si="3">S7+10%</f>
        <v>1.1000000000000001</v>
      </c>
      <c r="V7" s="27">
        <f t="shared" si="1"/>
        <v>0.7</v>
      </c>
      <c r="W7" s="1">
        <f t="shared" ref="W7:W37" si="4">U7+10%</f>
        <v>1.2000000000000002</v>
      </c>
      <c r="X7" s="27">
        <f t="shared" si="1"/>
        <v>0.79999999999999993</v>
      </c>
      <c r="Z7" t="s">
        <v>333</v>
      </c>
    </row>
    <row r="8" spans="1:26">
      <c r="A8" s="5"/>
      <c r="B8" t="s">
        <v>313</v>
      </c>
      <c r="C8" t="s">
        <v>308</v>
      </c>
      <c r="D8">
        <v>3</v>
      </c>
      <c r="E8" t="s">
        <v>327</v>
      </c>
      <c r="F8" s="17" t="s">
        <v>569</v>
      </c>
      <c r="G8">
        <v>0</v>
      </c>
      <c r="H8">
        <v>0</v>
      </c>
      <c r="I8">
        <v>0</v>
      </c>
      <c r="J8">
        <v>0</v>
      </c>
      <c r="K8">
        <v>0</v>
      </c>
      <c r="L8" t="s">
        <v>80</v>
      </c>
      <c r="M8">
        <v>0</v>
      </c>
      <c r="N8">
        <v>1</v>
      </c>
      <c r="O8" s="1">
        <v>0.6</v>
      </c>
      <c r="P8" s="1">
        <v>0.8</v>
      </c>
      <c r="Q8" s="27">
        <f t="shared" si="0"/>
        <v>0.7</v>
      </c>
      <c r="R8" s="27">
        <f t="shared" si="1"/>
        <v>0.9</v>
      </c>
      <c r="S8" s="1">
        <f t="shared" si="2"/>
        <v>0.79999999999999993</v>
      </c>
      <c r="T8" s="27">
        <f t="shared" si="1"/>
        <v>1</v>
      </c>
      <c r="U8" s="27">
        <f t="shared" si="3"/>
        <v>0.89999999999999991</v>
      </c>
      <c r="V8" s="27">
        <f t="shared" si="1"/>
        <v>1.1000000000000001</v>
      </c>
      <c r="W8" s="1">
        <f t="shared" si="4"/>
        <v>0.99999999999999989</v>
      </c>
      <c r="X8" s="27">
        <f t="shared" si="1"/>
        <v>1.2000000000000002</v>
      </c>
      <c r="Z8" t="s">
        <v>491</v>
      </c>
    </row>
    <row r="9" spans="1:26">
      <c r="A9" s="5"/>
      <c r="B9" t="s">
        <v>314</v>
      </c>
      <c r="C9" t="s">
        <v>308</v>
      </c>
      <c r="D9">
        <v>4</v>
      </c>
      <c r="E9" t="s">
        <v>329</v>
      </c>
      <c r="F9" s="17" t="s">
        <v>570</v>
      </c>
      <c r="G9">
        <v>0</v>
      </c>
      <c r="H9">
        <v>0</v>
      </c>
      <c r="I9">
        <v>0</v>
      </c>
      <c r="J9">
        <v>0</v>
      </c>
      <c r="K9">
        <v>2</v>
      </c>
      <c r="O9" s="35">
        <v>0.7</v>
      </c>
      <c r="P9" s="1"/>
      <c r="Q9" s="27">
        <f t="shared" si="0"/>
        <v>0.79999999999999993</v>
      </c>
      <c r="R9" s="27"/>
      <c r="S9" s="1">
        <f t="shared" si="2"/>
        <v>0.89999999999999991</v>
      </c>
      <c r="T9" s="27"/>
      <c r="U9" s="27">
        <f t="shared" si="3"/>
        <v>0.99999999999999989</v>
      </c>
      <c r="V9" s="27"/>
      <c r="W9" s="1">
        <f t="shared" si="4"/>
        <v>1.0999999999999999</v>
      </c>
      <c r="X9" s="27"/>
      <c r="Z9" t="s">
        <v>332</v>
      </c>
    </row>
    <row r="10" spans="1:26">
      <c r="A10" s="5"/>
      <c r="B10" t="s">
        <v>316</v>
      </c>
      <c r="C10" t="s">
        <v>308</v>
      </c>
      <c r="D10">
        <v>5</v>
      </c>
      <c r="E10" t="s">
        <v>324</v>
      </c>
      <c r="F10" s="17" t="s">
        <v>567</v>
      </c>
      <c r="G10">
        <v>0</v>
      </c>
      <c r="H10">
        <v>0</v>
      </c>
      <c r="I10">
        <v>0</v>
      </c>
      <c r="J10">
        <v>0</v>
      </c>
      <c r="K10">
        <v>0</v>
      </c>
      <c r="O10" s="1">
        <v>1.2</v>
      </c>
      <c r="P10" s="1"/>
      <c r="Q10" s="27">
        <f t="shared" si="0"/>
        <v>1.3</v>
      </c>
      <c r="R10" s="27"/>
      <c r="S10" s="1">
        <f t="shared" si="2"/>
        <v>1.4000000000000001</v>
      </c>
      <c r="T10" s="27"/>
      <c r="U10" s="27">
        <f t="shared" si="3"/>
        <v>1.5000000000000002</v>
      </c>
      <c r="V10" s="27"/>
      <c r="W10" s="1">
        <f t="shared" si="4"/>
        <v>1.6000000000000003</v>
      </c>
      <c r="X10" s="27"/>
      <c r="Y10" t="s">
        <v>310</v>
      </c>
      <c r="Z10" t="s">
        <v>332</v>
      </c>
    </row>
    <row r="11" spans="1:26">
      <c r="A11" s="5"/>
      <c r="B11" t="s">
        <v>318</v>
      </c>
      <c r="C11" t="s">
        <v>308</v>
      </c>
      <c r="D11">
        <v>6</v>
      </c>
      <c r="E11" t="s">
        <v>326</v>
      </c>
      <c r="F11" s="17" t="s">
        <v>568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131</v>
      </c>
      <c r="M11">
        <v>0</v>
      </c>
      <c r="O11" s="35">
        <v>1</v>
      </c>
      <c r="P11" s="35">
        <v>0.4</v>
      </c>
      <c r="Q11" s="27">
        <f t="shared" si="0"/>
        <v>1.1000000000000001</v>
      </c>
      <c r="R11" s="27">
        <f t="shared" si="1"/>
        <v>0.5</v>
      </c>
      <c r="S11" s="1">
        <f t="shared" si="2"/>
        <v>1.2000000000000002</v>
      </c>
      <c r="T11" s="27">
        <f t="shared" si="1"/>
        <v>0.6</v>
      </c>
      <c r="U11" s="27">
        <f t="shared" si="3"/>
        <v>1.3000000000000003</v>
      </c>
      <c r="V11" s="27">
        <f t="shared" si="1"/>
        <v>0.7</v>
      </c>
      <c r="W11" s="1">
        <f t="shared" si="4"/>
        <v>1.4000000000000004</v>
      </c>
      <c r="X11" s="27">
        <f t="shared" si="1"/>
        <v>0.79999999999999993</v>
      </c>
      <c r="Y11" t="s">
        <v>312</v>
      </c>
      <c r="Z11" t="s">
        <v>335</v>
      </c>
    </row>
    <row r="12" spans="1:26">
      <c r="A12" s="5"/>
      <c r="B12" t="s">
        <v>320</v>
      </c>
      <c r="C12" t="s">
        <v>308</v>
      </c>
      <c r="D12">
        <v>7</v>
      </c>
      <c r="E12" t="s">
        <v>328</v>
      </c>
      <c r="F12" s="17" t="s">
        <v>569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80</v>
      </c>
      <c r="M12">
        <v>0</v>
      </c>
      <c r="N12">
        <v>1</v>
      </c>
      <c r="O12" s="1">
        <v>0.7</v>
      </c>
      <c r="P12" s="1">
        <v>0.9</v>
      </c>
      <c r="Q12" s="27">
        <f t="shared" si="0"/>
        <v>0.79999999999999993</v>
      </c>
      <c r="R12" s="27">
        <f t="shared" si="1"/>
        <v>1</v>
      </c>
      <c r="S12" s="1">
        <f t="shared" si="2"/>
        <v>0.89999999999999991</v>
      </c>
      <c r="T12" s="27">
        <f t="shared" si="1"/>
        <v>1.1000000000000001</v>
      </c>
      <c r="U12" s="27">
        <f t="shared" si="3"/>
        <v>0.99999999999999989</v>
      </c>
      <c r="V12" s="27">
        <f t="shared" si="1"/>
        <v>1.2000000000000002</v>
      </c>
      <c r="W12" s="1">
        <f t="shared" si="4"/>
        <v>1.0999999999999999</v>
      </c>
      <c r="X12" s="27">
        <f t="shared" si="1"/>
        <v>1.3000000000000003</v>
      </c>
      <c r="Y12" t="s">
        <v>313</v>
      </c>
      <c r="Z12" t="s">
        <v>334</v>
      </c>
    </row>
    <row r="13" spans="1:26">
      <c r="A13" s="5"/>
      <c r="B13" t="s">
        <v>322</v>
      </c>
      <c r="C13" t="s">
        <v>308</v>
      </c>
      <c r="D13">
        <v>8</v>
      </c>
      <c r="E13" t="s">
        <v>330</v>
      </c>
      <c r="F13" s="17" t="s">
        <v>570</v>
      </c>
      <c r="G13">
        <v>0</v>
      </c>
      <c r="H13">
        <v>0</v>
      </c>
      <c r="I13">
        <v>0</v>
      </c>
      <c r="J13">
        <v>0</v>
      </c>
      <c r="K13">
        <v>2</v>
      </c>
      <c r="O13" s="35">
        <v>1</v>
      </c>
      <c r="P13" s="1"/>
      <c r="Q13" s="27">
        <f t="shared" si="0"/>
        <v>1.1000000000000001</v>
      </c>
      <c r="R13" s="27"/>
      <c r="S13" s="1">
        <f t="shared" si="2"/>
        <v>1.2000000000000002</v>
      </c>
      <c r="T13" s="27"/>
      <c r="U13" s="27">
        <f t="shared" si="3"/>
        <v>1.3000000000000003</v>
      </c>
      <c r="V13" s="27"/>
      <c r="W13" s="1">
        <f t="shared" si="4"/>
        <v>1.4000000000000004</v>
      </c>
      <c r="X13" s="27"/>
      <c r="Y13" t="s">
        <v>314</v>
      </c>
      <c r="Z13" t="s">
        <v>332</v>
      </c>
    </row>
    <row r="14" spans="1:26">
      <c r="A14" s="5"/>
      <c r="B14" t="s">
        <v>337</v>
      </c>
      <c r="C14" t="s">
        <v>347</v>
      </c>
      <c r="D14">
        <v>1</v>
      </c>
      <c r="E14" t="s">
        <v>348</v>
      </c>
      <c r="F14" s="17" t="s">
        <v>571</v>
      </c>
      <c r="G14">
        <v>0</v>
      </c>
      <c r="H14">
        <v>0</v>
      </c>
      <c r="I14">
        <v>1</v>
      </c>
      <c r="J14">
        <v>1</v>
      </c>
      <c r="K14">
        <v>0</v>
      </c>
      <c r="O14" s="1">
        <v>1</v>
      </c>
      <c r="P14" s="1"/>
      <c r="Q14" s="27">
        <f t="shared" si="0"/>
        <v>1.1000000000000001</v>
      </c>
      <c r="R14" s="27"/>
      <c r="S14" s="1">
        <f t="shared" si="2"/>
        <v>1.2000000000000002</v>
      </c>
      <c r="T14" s="27"/>
      <c r="U14" s="27">
        <f t="shared" si="3"/>
        <v>1.3000000000000003</v>
      </c>
      <c r="V14" s="27"/>
      <c r="W14" s="1">
        <f t="shared" si="4"/>
        <v>1.4000000000000004</v>
      </c>
      <c r="X14" s="27"/>
      <c r="Z14" t="s">
        <v>356</v>
      </c>
    </row>
    <row r="15" spans="1:26">
      <c r="A15" s="5"/>
      <c r="B15" t="s">
        <v>338</v>
      </c>
      <c r="C15" t="s">
        <v>347</v>
      </c>
      <c r="D15">
        <v>2</v>
      </c>
      <c r="E15" t="s">
        <v>350</v>
      </c>
      <c r="F15" s="17" t="s">
        <v>572</v>
      </c>
      <c r="G15">
        <v>0</v>
      </c>
      <c r="H15">
        <v>0</v>
      </c>
      <c r="I15">
        <v>1</v>
      </c>
      <c r="J15">
        <v>1</v>
      </c>
      <c r="K15">
        <v>0</v>
      </c>
      <c r="L15" t="s">
        <v>415</v>
      </c>
      <c r="M15">
        <v>1</v>
      </c>
      <c r="N15">
        <v>1</v>
      </c>
      <c r="O15" s="1">
        <v>0.9</v>
      </c>
      <c r="P15" s="1">
        <v>0.3</v>
      </c>
      <c r="Q15" s="27">
        <f t="shared" si="0"/>
        <v>1</v>
      </c>
      <c r="R15" s="27">
        <f t="shared" si="1"/>
        <v>0.4</v>
      </c>
      <c r="S15" s="1">
        <f t="shared" si="2"/>
        <v>1.1000000000000001</v>
      </c>
      <c r="T15" s="27">
        <f t="shared" si="1"/>
        <v>0.5</v>
      </c>
      <c r="U15" s="27">
        <f t="shared" si="3"/>
        <v>1.2000000000000002</v>
      </c>
      <c r="V15" s="27">
        <f t="shared" si="1"/>
        <v>0.6</v>
      </c>
      <c r="W15" s="1">
        <f t="shared" si="4"/>
        <v>1.3000000000000003</v>
      </c>
      <c r="X15" s="27">
        <f t="shared" si="1"/>
        <v>0.7</v>
      </c>
      <c r="Z15" t="s">
        <v>357</v>
      </c>
    </row>
    <row r="16" spans="1:26">
      <c r="A16" s="5"/>
      <c r="B16" t="s">
        <v>339</v>
      </c>
      <c r="C16" t="s">
        <v>347</v>
      </c>
      <c r="D16">
        <v>3</v>
      </c>
      <c r="E16" t="s">
        <v>352</v>
      </c>
      <c r="F16" s="17" t="s">
        <v>576</v>
      </c>
      <c r="G16">
        <v>0</v>
      </c>
      <c r="H16">
        <v>0</v>
      </c>
      <c r="I16">
        <v>1</v>
      </c>
      <c r="J16">
        <v>1</v>
      </c>
      <c r="K16">
        <v>1</v>
      </c>
      <c r="L16" t="s">
        <v>130</v>
      </c>
      <c r="M16">
        <v>0</v>
      </c>
      <c r="O16" s="1">
        <v>0.6</v>
      </c>
      <c r="P16" s="1"/>
      <c r="Q16" s="27">
        <f t="shared" si="0"/>
        <v>0.7</v>
      </c>
      <c r="R16" s="27"/>
      <c r="S16" s="1">
        <f t="shared" si="2"/>
        <v>0.79999999999999993</v>
      </c>
      <c r="T16" s="27"/>
      <c r="U16" s="27">
        <f t="shared" si="3"/>
        <v>0.89999999999999991</v>
      </c>
      <c r="V16" s="27"/>
      <c r="W16" s="1">
        <f t="shared" si="4"/>
        <v>0.99999999999999989</v>
      </c>
      <c r="X16" s="27"/>
      <c r="Z16" t="s">
        <v>358</v>
      </c>
    </row>
    <row r="17" spans="1:26">
      <c r="A17" s="5"/>
      <c r="B17" t="s">
        <v>340</v>
      </c>
      <c r="C17" t="s">
        <v>347</v>
      </c>
      <c r="D17">
        <v>4</v>
      </c>
      <c r="E17" t="s">
        <v>354</v>
      </c>
      <c r="F17" s="17" t="s">
        <v>574</v>
      </c>
      <c r="G17">
        <v>0</v>
      </c>
      <c r="H17">
        <v>0</v>
      </c>
      <c r="I17">
        <v>1</v>
      </c>
      <c r="J17">
        <v>1</v>
      </c>
      <c r="K17">
        <v>2</v>
      </c>
      <c r="O17" s="35">
        <v>0.7</v>
      </c>
      <c r="P17" s="1">
        <v>0.05</v>
      </c>
      <c r="Q17" s="27">
        <f t="shared" si="0"/>
        <v>0.79999999999999993</v>
      </c>
      <c r="R17" s="27">
        <f t="shared" si="1"/>
        <v>0.15000000000000002</v>
      </c>
      <c r="S17" s="1">
        <f t="shared" si="2"/>
        <v>0.89999999999999991</v>
      </c>
      <c r="T17" s="27">
        <f t="shared" si="1"/>
        <v>0.25</v>
      </c>
      <c r="U17" s="27">
        <f t="shared" si="3"/>
        <v>0.99999999999999989</v>
      </c>
      <c r="V17" s="27">
        <f t="shared" si="1"/>
        <v>0.35</v>
      </c>
      <c r="W17" s="1">
        <f t="shared" si="4"/>
        <v>1.0999999999999999</v>
      </c>
      <c r="X17" s="27">
        <f t="shared" si="1"/>
        <v>0.44999999999999996</v>
      </c>
      <c r="Z17" t="s">
        <v>358</v>
      </c>
    </row>
    <row r="18" spans="1:26">
      <c r="A18" s="5"/>
      <c r="B18" t="s">
        <v>341</v>
      </c>
      <c r="C18" t="s">
        <v>347</v>
      </c>
      <c r="D18">
        <v>5</v>
      </c>
      <c r="E18" t="s">
        <v>349</v>
      </c>
      <c r="F18" s="17" t="s">
        <v>571</v>
      </c>
      <c r="G18">
        <v>0</v>
      </c>
      <c r="H18">
        <v>0</v>
      </c>
      <c r="I18">
        <v>1</v>
      </c>
      <c r="J18">
        <v>1</v>
      </c>
      <c r="K18">
        <v>0</v>
      </c>
      <c r="O18" s="1">
        <v>1.2</v>
      </c>
      <c r="P18" s="1"/>
      <c r="Q18" s="27">
        <f t="shared" si="0"/>
        <v>1.3</v>
      </c>
      <c r="R18" s="27"/>
      <c r="S18" s="1">
        <f t="shared" si="2"/>
        <v>1.4000000000000001</v>
      </c>
      <c r="T18" s="27"/>
      <c r="U18" s="27">
        <f t="shared" si="3"/>
        <v>1.5000000000000002</v>
      </c>
      <c r="V18" s="27"/>
      <c r="W18" s="1">
        <f t="shared" si="4"/>
        <v>1.6000000000000003</v>
      </c>
      <c r="X18" s="27"/>
      <c r="Y18" t="s">
        <v>337</v>
      </c>
      <c r="Z18" t="s">
        <v>356</v>
      </c>
    </row>
    <row r="19" spans="1:26">
      <c r="A19" s="5"/>
      <c r="B19" t="s">
        <v>342</v>
      </c>
      <c r="C19" t="s">
        <v>347</v>
      </c>
      <c r="D19">
        <v>6</v>
      </c>
      <c r="E19" t="s">
        <v>351</v>
      </c>
      <c r="F19" s="17" t="s">
        <v>572</v>
      </c>
      <c r="G19">
        <v>0</v>
      </c>
      <c r="H19">
        <v>0</v>
      </c>
      <c r="I19">
        <v>1</v>
      </c>
      <c r="J19">
        <v>1</v>
      </c>
      <c r="K19">
        <v>0</v>
      </c>
      <c r="L19" t="s">
        <v>415</v>
      </c>
      <c r="M19">
        <v>1</v>
      </c>
      <c r="N19">
        <v>1</v>
      </c>
      <c r="O19" s="1">
        <v>1</v>
      </c>
      <c r="P19" s="1">
        <v>0.4</v>
      </c>
      <c r="Q19" s="27">
        <f t="shared" si="0"/>
        <v>1.1000000000000001</v>
      </c>
      <c r="R19" s="27">
        <f t="shared" si="1"/>
        <v>0.5</v>
      </c>
      <c r="S19" s="1">
        <f t="shared" si="2"/>
        <v>1.2000000000000002</v>
      </c>
      <c r="T19" s="27">
        <f t="shared" si="1"/>
        <v>0.6</v>
      </c>
      <c r="U19" s="27">
        <f t="shared" si="3"/>
        <v>1.3000000000000003</v>
      </c>
      <c r="V19" s="27">
        <f t="shared" si="1"/>
        <v>0.7</v>
      </c>
      <c r="W19" s="1">
        <f t="shared" si="4"/>
        <v>1.4000000000000004</v>
      </c>
      <c r="X19" s="27">
        <f t="shared" si="1"/>
        <v>0.79999999999999993</v>
      </c>
      <c r="Y19" t="s">
        <v>338</v>
      </c>
      <c r="Z19" t="s">
        <v>357</v>
      </c>
    </row>
    <row r="20" spans="1:26">
      <c r="A20" s="5"/>
      <c r="B20" t="s">
        <v>344</v>
      </c>
      <c r="C20" t="s">
        <v>347</v>
      </c>
      <c r="D20">
        <v>7</v>
      </c>
      <c r="E20" t="s">
        <v>353</v>
      </c>
      <c r="F20" s="17" t="s">
        <v>573</v>
      </c>
      <c r="G20">
        <v>0</v>
      </c>
      <c r="H20">
        <v>0</v>
      </c>
      <c r="I20">
        <v>1</v>
      </c>
      <c r="J20">
        <v>1</v>
      </c>
      <c r="K20">
        <v>1</v>
      </c>
      <c r="L20" t="s">
        <v>130</v>
      </c>
      <c r="O20" s="1">
        <v>0.7</v>
      </c>
      <c r="P20" s="1"/>
      <c r="Q20" s="27">
        <f t="shared" si="0"/>
        <v>0.79999999999999993</v>
      </c>
      <c r="R20" s="27"/>
      <c r="S20" s="1">
        <f t="shared" si="2"/>
        <v>0.89999999999999991</v>
      </c>
      <c r="T20" s="27"/>
      <c r="U20" s="27">
        <f t="shared" si="3"/>
        <v>0.99999999999999989</v>
      </c>
      <c r="V20" s="27"/>
      <c r="W20" s="1">
        <f t="shared" si="4"/>
        <v>1.0999999999999999</v>
      </c>
      <c r="X20" s="27"/>
      <c r="Y20" t="s">
        <v>339</v>
      </c>
      <c r="Z20" t="s">
        <v>358</v>
      </c>
    </row>
    <row r="21" spans="1:26">
      <c r="A21" s="5"/>
      <c r="B21" t="s">
        <v>346</v>
      </c>
      <c r="C21" t="s">
        <v>347</v>
      </c>
      <c r="D21">
        <v>8</v>
      </c>
      <c r="E21" t="s">
        <v>355</v>
      </c>
      <c r="F21" s="17" t="s">
        <v>574</v>
      </c>
      <c r="G21">
        <v>0</v>
      </c>
      <c r="H21">
        <v>0</v>
      </c>
      <c r="I21">
        <v>1</v>
      </c>
      <c r="J21">
        <v>1</v>
      </c>
      <c r="K21">
        <v>2</v>
      </c>
      <c r="O21" s="35">
        <v>1</v>
      </c>
      <c r="P21" s="1">
        <v>0.05</v>
      </c>
      <c r="Q21" s="27">
        <f t="shared" si="0"/>
        <v>1.1000000000000001</v>
      </c>
      <c r="R21" s="27">
        <f t="shared" si="1"/>
        <v>0.15000000000000002</v>
      </c>
      <c r="S21" s="1">
        <f t="shared" si="2"/>
        <v>1.2000000000000002</v>
      </c>
      <c r="T21" s="27">
        <f t="shared" si="1"/>
        <v>0.25</v>
      </c>
      <c r="U21" s="27">
        <f t="shared" si="3"/>
        <v>1.3000000000000003</v>
      </c>
      <c r="V21" s="27">
        <f t="shared" si="1"/>
        <v>0.35</v>
      </c>
      <c r="W21" s="1">
        <f t="shared" si="4"/>
        <v>1.4000000000000004</v>
      </c>
      <c r="X21" s="27">
        <f t="shared" si="1"/>
        <v>0.44999999999999996</v>
      </c>
      <c r="Y21" t="s">
        <v>340</v>
      </c>
      <c r="Z21" t="s">
        <v>358</v>
      </c>
    </row>
    <row r="22" spans="1:26">
      <c r="A22" s="5"/>
      <c r="B22" t="s">
        <v>360</v>
      </c>
      <c r="C22" t="s">
        <v>375</v>
      </c>
      <c r="D22">
        <v>1</v>
      </c>
      <c r="E22" t="s">
        <v>379</v>
      </c>
      <c r="F22" s="17" t="s">
        <v>575</v>
      </c>
      <c r="G22">
        <v>0</v>
      </c>
      <c r="H22">
        <v>0</v>
      </c>
      <c r="I22">
        <v>1</v>
      </c>
      <c r="J22">
        <v>1</v>
      </c>
      <c r="K22">
        <v>0</v>
      </c>
      <c r="O22" s="1">
        <v>1</v>
      </c>
      <c r="P22" s="1"/>
      <c r="Q22" s="27">
        <f t="shared" si="0"/>
        <v>1.1000000000000001</v>
      </c>
      <c r="R22" s="27"/>
      <c r="S22" s="1">
        <f t="shared" si="2"/>
        <v>1.2000000000000002</v>
      </c>
      <c r="T22" s="27"/>
      <c r="U22" s="27">
        <f t="shared" si="3"/>
        <v>1.3000000000000003</v>
      </c>
      <c r="V22" s="27"/>
      <c r="W22" s="1">
        <f t="shared" si="4"/>
        <v>1.4000000000000004</v>
      </c>
      <c r="X22" s="27"/>
      <c r="Z22" t="s">
        <v>376</v>
      </c>
    </row>
    <row r="23" spans="1:26">
      <c r="A23" s="5"/>
      <c r="B23" t="s">
        <v>362</v>
      </c>
      <c r="C23" t="s">
        <v>375</v>
      </c>
      <c r="D23">
        <v>2</v>
      </c>
      <c r="E23" t="s">
        <v>380</v>
      </c>
      <c r="F23" s="17" t="s">
        <v>577</v>
      </c>
      <c r="G23">
        <v>0</v>
      </c>
      <c r="H23">
        <v>0</v>
      </c>
      <c r="I23">
        <v>1</v>
      </c>
      <c r="J23">
        <v>1</v>
      </c>
      <c r="K23">
        <v>0</v>
      </c>
      <c r="O23" s="1">
        <v>1</v>
      </c>
      <c r="P23" s="1">
        <v>0.2</v>
      </c>
      <c r="Q23" s="27">
        <f t="shared" si="0"/>
        <v>1.1000000000000001</v>
      </c>
      <c r="R23" s="27">
        <f t="shared" si="1"/>
        <v>0.30000000000000004</v>
      </c>
      <c r="S23" s="1">
        <f t="shared" si="2"/>
        <v>1.2000000000000002</v>
      </c>
      <c r="T23" s="27">
        <f t="shared" si="1"/>
        <v>0.4</v>
      </c>
      <c r="U23" s="27">
        <f t="shared" si="3"/>
        <v>1.3000000000000003</v>
      </c>
      <c r="V23" s="27">
        <f t="shared" si="1"/>
        <v>0.5</v>
      </c>
      <c r="W23" s="1">
        <f t="shared" si="4"/>
        <v>1.4000000000000004</v>
      </c>
      <c r="X23" s="27">
        <f t="shared" si="1"/>
        <v>0.6</v>
      </c>
      <c r="Z23" t="s">
        <v>377</v>
      </c>
    </row>
    <row r="24" spans="1:26">
      <c r="A24" s="5"/>
      <c r="B24" t="s">
        <v>364</v>
      </c>
      <c r="C24" t="s">
        <v>375</v>
      </c>
      <c r="D24">
        <v>3</v>
      </c>
      <c r="E24" t="s">
        <v>381</v>
      </c>
      <c r="F24" s="17" t="s">
        <v>578</v>
      </c>
      <c r="G24">
        <v>0</v>
      </c>
      <c r="H24">
        <v>0</v>
      </c>
      <c r="I24">
        <v>1</v>
      </c>
      <c r="J24">
        <v>1</v>
      </c>
      <c r="K24">
        <v>0</v>
      </c>
      <c r="L24" t="s">
        <v>131</v>
      </c>
      <c r="M24">
        <v>0</v>
      </c>
      <c r="O24" s="1">
        <v>0.7</v>
      </c>
      <c r="P24" s="1">
        <v>0.7</v>
      </c>
      <c r="Q24" s="27">
        <f t="shared" si="0"/>
        <v>0.79999999999999993</v>
      </c>
      <c r="R24" s="27">
        <f t="shared" si="1"/>
        <v>0.79999999999999993</v>
      </c>
      <c r="S24" s="1">
        <f t="shared" si="2"/>
        <v>0.89999999999999991</v>
      </c>
      <c r="T24" s="27">
        <f t="shared" si="1"/>
        <v>0.89999999999999991</v>
      </c>
      <c r="U24" s="27">
        <f t="shared" si="3"/>
        <v>0.99999999999999989</v>
      </c>
      <c r="V24" s="27">
        <f t="shared" si="1"/>
        <v>0.99999999999999989</v>
      </c>
      <c r="W24" s="1">
        <f t="shared" si="4"/>
        <v>1.0999999999999999</v>
      </c>
      <c r="X24" s="27">
        <f t="shared" si="1"/>
        <v>1.0999999999999999</v>
      </c>
      <c r="Z24" t="s">
        <v>378</v>
      </c>
    </row>
    <row r="25" spans="1:26">
      <c r="A25" s="5"/>
      <c r="B25" t="s">
        <v>366</v>
      </c>
      <c r="C25" t="s">
        <v>375</v>
      </c>
      <c r="D25">
        <v>4</v>
      </c>
      <c r="E25" t="s">
        <v>382</v>
      </c>
      <c r="F25" s="17" t="s">
        <v>579</v>
      </c>
      <c r="G25">
        <v>0</v>
      </c>
      <c r="H25">
        <v>0</v>
      </c>
      <c r="I25">
        <v>1</v>
      </c>
      <c r="J25">
        <v>1</v>
      </c>
      <c r="K25">
        <v>0</v>
      </c>
      <c r="O25" s="1">
        <v>1</v>
      </c>
      <c r="P25" s="1">
        <v>0.1</v>
      </c>
      <c r="Q25" s="27">
        <f t="shared" si="0"/>
        <v>1.1000000000000001</v>
      </c>
      <c r="R25" s="27">
        <f t="shared" si="1"/>
        <v>0.2</v>
      </c>
      <c r="S25" s="1">
        <f t="shared" si="2"/>
        <v>1.2000000000000002</v>
      </c>
      <c r="T25" s="27">
        <f t="shared" si="1"/>
        <v>0.30000000000000004</v>
      </c>
      <c r="U25" s="27">
        <f t="shared" si="3"/>
        <v>1.3000000000000003</v>
      </c>
      <c r="V25" s="27">
        <f t="shared" si="1"/>
        <v>0.4</v>
      </c>
      <c r="W25" s="1">
        <f t="shared" si="4"/>
        <v>1.4000000000000004</v>
      </c>
      <c r="X25" s="27">
        <f t="shared" si="1"/>
        <v>0.5</v>
      </c>
      <c r="Z25" t="s">
        <v>376</v>
      </c>
    </row>
    <row r="26" spans="1:26">
      <c r="A26" s="5"/>
      <c r="B26" t="s">
        <v>368</v>
      </c>
      <c r="C26" t="s">
        <v>375</v>
      </c>
      <c r="D26">
        <v>5</v>
      </c>
      <c r="E26" t="s">
        <v>383</v>
      </c>
      <c r="F26" s="17" t="s">
        <v>575</v>
      </c>
      <c r="G26">
        <v>0</v>
      </c>
      <c r="H26">
        <v>0</v>
      </c>
      <c r="I26">
        <v>1</v>
      </c>
      <c r="J26">
        <v>1</v>
      </c>
      <c r="K26">
        <v>0</v>
      </c>
      <c r="O26" s="1">
        <v>1.2</v>
      </c>
      <c r="P26" s="1"/>
      <c r="Q26" s="27">
        <f t="shared" si="0"/>
        <v>1.3</v>
      </c>
      <c r="R26" s="27"/>
      <c r="S26" s="1">
        <f t="shared" si="2"/>
        <v>1.4000000000000001</v>
      </c>
      <c r="T26" s="27"/>
      <c r="U26" s="27">
        <f t="shared" si="3"/>
        <v>1.5000000000000002</v>
      </c>
      <c r="V26" s="27"/>
      <c r="W26" s="1">
        <f t="shared" si="4"/>
        <v>1.6000000000000003</v>
      </c>
      <c r="X26" s="27"/>
      <c r="Y26" t="s">
        <v>360</v>
      </c>
      <c r="Z26" t="s">
        <v>376</v>
      </c>
    </row>
    <row r="27" spans="1:26">
      <c r="A27" s="5"/>
      <c r="B27" t="s">
        <v>370</v>
      </c>
      <c r="C27" t="s">
        <v>375</v>
      </c>
      <c r="D27">
        <v>6</v>
      </c>
      <c r="E27" t="s">
        <v>384</v>
      </c>
      <c r="F27" s="17" t="s">
        <v>577</v>
      </c>
      <c r="G27">
        <v>0</v>
      </c>
      <c r="H27">
        <v>0</v>
      </c>
      <c r="I27">
        <v>1</v>
      </c>
      <c r="J27">
        <v>1</v>
      </c>
      <c r="K27">
        <v>0</v>
      </c>
      <c r="O27" s="1">
        <v>1.2</v>
      </c>
      <c r="P27" s="1">
        <v>0.3</v>
      </c>
      <c r="Q27" s="27">
        <f t="shared" si="0"/>
        <v>1.3</v>
      </c>
      <c r="R27" s="27">
        <f t="shared" si="1"/>
        <v>0.4</v>
      </c>
      <c r="S27" s="1">
        <f t="shared" si="2"/>
        <v>1.4000000000000001</v>
      </c>
      <c r="T27" s="27">
        <f t="shared" si="1"/>
        <v>0.5</v>
      </c>
      <c r="U27" s="27">
        <f t="shared" si="3"/>
        <v>1.5000000000000002</v>
      </c>
      <c r="V27" s="27">
        <f t="shared" si="1"/>
        <v>0.6</v>
      </c>
      <c r="W27" s="1">
        <f t="shared" si="4"/>
        <v>1.6000000000000003</v>
      </c>
      <c r="X27" s="27">
        <f t="shared" si="1"/>
        <v>0.7</v>
      </c>
      <c r="Y27" t="s">
        <v>362</v>
      </c>
      <c r="Z27" t="s">
        <v>377</v>
      </c>
    </row>
    <row r="28" spans="1:26">
      <c r="A28" s="5"/>
      <c r="B28" t="s">
        <v>372</v>
      </c>
      <c r="C28" t="s">
        <v>375</v>
      </c>
      <c r="D28">
        <v>7</v>
      </c>
      <c r="E28" t="s">
        <v>385</v>
      </c>
      <c r="F28" s="17" t="s">
        <v>578</v>
      </c>
      <c r="G28">
        <v>0</v>
      </c>
      <c r="H28">
        <v>0</v>
      </c>
      <c r="I28">
        <v>1</v>
      </c>
      <c r="J28">
        <v>1</v>
      </c>
      <c r="K28">
        <v>0</v>
      </c>
      <c r="L28" t="s">
        <v>131</v>
      </c>
      <c r="M28">
        <v>0</v>
      </c>
      <c r="O28" s="1">
        <v>0.9</v>
      </c>
      <c r="P28" s="1">
        <v>0.9</v>
      </c>
      <c r="Q28" s="27">
        <f t="shared" si="0"/>
        <v>1</v>
      </c>
      <c r="R28" s="27">
        <f t="shared" si="1"/>
        <v>1</v>
      </c>
      <c r="S28" s="1">
        <f t="shared" si="2"/>
        <v>1.1000000000000001</v>
      </c>
      <c r="T28" s="27">
        <f t="shared" si="1"/>
        <v>1.1000000000000001</v>
      </c>
      <c r="U28" s="27">
        <f t="shared" si="3"/>
        <v>1.2000000000000002</v>
      </c>
      <c r="V28" s="27">
        <f t="shared" si="1"/>
        <v>1.2000000000000002</v>
      </c>
      <c r="W28" s="1">
        <f t="shared" si="4"/>
        <v>1.3000000000000003</v>
      </c>
      <c r="X28" s="27">
        <f t="shared" si="1"/>
        <v>1.3000000000000003</v>
      </c>
      <c r="Y28" t="s">
        <v>364</v>
      </c>
      <c r="Z28" t="s">
        <v>378</v>
      </c>
    </row>
    <row r="29" spans="1:26">
      <c r="A29" s="5"/>
      <c r="B29" t="s">
        <v>374</v>
      </c>
      <c r="C29" t="s">
        <v>375</v>
      </c>
      <c r="D29">
        <v>8</v>
      </c>
      <c r="E29" t="s">
        <v>386</v>
      </c>
      <c r="F29" s="17" t="s">
        <v>579</v>
      </c>
      <c r="G29">
        <v>0</v>
      </c>
      <c r="H29">
        <v>0</v>
      </c>
      <c r="I29">
        <v>1</v>
      </c>
      <c r="J29">
        <v>1</v>
      </c>
      <c r="K29">
        <v>0</v>
      </c>
      <c r="O29" s="1">
        <v>1.2</v>
      </c>
      <c r="P29" s="1">
        <v>0.15</v>
      </c>
      <c r="Q29" s="27">
        <f t="shared" si="0"/>
        <v>1.3</v>
      </c>
      <c r="R29" s="27">
        <f t="shared" si="1"/>
        <v>0.25</v>
      </c>
      <c r="S29" s="1">
        <f t="shared" si="2"/>
        <v>1.4000000000000001</v>
      </c>
      <c r="T29" s="27">
        <f t="shared" si="1"/>
        <v>0.35</v>
      </c>
      <c r="U29" s="27">
        <f t="shared" si="3"/>
        <v>1.5000000000000002</v>
      </c>
      <c r="V29" s="27">
        <f t="shared" si="1"/>
        <v>0.44999999999999996</v>
      </c>
      <c r="W29" s="1">
        <f t="shared" si="4"/>
        <v>1.6000000000000003</v>
      </c>
      <c r="X29" s="27">
        <f t="shared" si="1"/>
        <v>0.54999999999999993</v>
      </c>
      <c r="Y29" t="s">
        <v>366</v>
      </c>
      <c r="Z29" t="s">
        <v>376</v>
      </c>
    </row>
    <row r="30" spans="1:26">
      <c r="A30" s="5"/>
      <c r="B30" t="s">
        <v>388</v>
      </c>
      <c r="C30" t="s">
        <v>406</v>
      </c>
      <c r="D30">
        <v>1</v>
      </c>
      <c r="E30" t="s">
        <v>407</v>
      </c>
      <c r="F30" s="17" t="s">
        <v>580</v>
      </c>
      <c r="G30">
        <v>0</v>
      </c>
      <c r="H30">
        <v>1</v>
      </c>
      <c r="I30">
        <v>1</v>
      </c>
      <c r="J30">
        <v>1</v>
      </c>
      <c r="K30">
        <v>0</v>
      </c>
      <c r="O30" s="1">
        <v>0.5</v>
      </c>
      <c r="P30" s="1"/>
      <c r="Q30" s="27">
        <f t="shared" si="0"/>
        <v>0.6</v>
      </c>
      <c r="R30" s="27"/>
      <c r="S30" s="1">
        <f t="shared" si="2"/>
        <v>0.7</v>
      </c>
      <c r="T30" s="27"/>
      <c r="U30" s="27">
        <f t="shared" si="3"/>
        <v>0.79999999999999993</v>
      </c>
      <c r="V30" s="27"/>
      <c r="W30" s="1">
        <f t="shared" si="4"/>
        <v>0.89999999999999991</v>
      </c>
      <c r="X30" s="27"/>
      <c r="Z30" t="s">
        <v>403</v>
      </c>
    </row>
    <row r="31" spans="1:26">
      <c r="A31" s="5"/>
      <c r="B31" t="s">
        <v>390</v>
      </c>
      <c r="C31" t="s">
        <v>406</v>
      </c>
      <c r="D31">
        <v>2</v>
      </c>
      <c r="E31" t="s">
        <v>408</v>
      </c>
      <c r="F31" s="17" t="s">
        <v>581</v>
      </c>
      <c r="G31">
        <v>0</v>
      </c>
      <c r="H31">
        <v>0</v>
      </c>
      <c r="I31">
        <v>1</v>
      </c>
      <c r="J31">
        <v>1</v>
      </c>
      <c r="K31">
        <v>0</v>
      </c>
      <c r="O31" s="1">
        <v>0.8</v>
      </c>
      <c r="P31" s="1"/>
      <c r="Q31" s="27">
        <f t="shared" si="0"/>
        <v>0.9</v>
      </c>
      <c r="R31" s="27"/>
      <c r="S31" s="1">
        <f t="shared" si="2"/>
        <v>1</v>
      </c>
      <c r="T31" s="27"/>
      <c r="U31" s="27">
        <f t="shared" si="3"/>
        <v>1.1000000000000001</v>
      </c>
      <c r="V31" s="27"/>
      <c r="W31" s="1">
        <f t="shared" si="4"/>
        <v>1.2000000000000002</v>
      </c>
      <c r="X31" s="27"/>
      <c r="Z31" t="s">
        <v>404</v>
      </c>
    </row>
    <row r="32" spans="1:26">
      <c r="A32" s="5"/>
      <c r="B32" t="s">
        <v>392</v>
      </c>
      <c r="C32" t="s">
        <v>406</v>
      </c>
      <c r="D32">
        <v>3</v>
      </c>
      <c r="E32" s="17" t="s">
        <v>409</v>
      </c>
      <c r="F32" s="17" t="s">
        <v>582</v>
      </c>
      <c r="G32">
        <v>0</v>
      </c>
      <c r="H32">
        <v>1</v>
      </c>
      <c r="I32">
        <v>1</v>
      </c>
      <c r="J32">
        <v>1</v>
      </c>
      <c r="K32" s="17">
        <v>2</v>
      </c>
      <c r="L32" s="17"/>
      <c r="M32">
        <v>1</v>
      </c>
      <c r="N32">
        <v>1</v>
      </c>
      <c r="O32" s="35">
        <v>0.25</v>
      </c>
      <c r="P32" s="35">
        <v>0.25</v>
      </c>
      <c r="Q32" s="27">
        <f t="shared" si="0"/>
        <v>0.35</v>
      </c>
      <c r="R32" s="27">
        <f t="shared" si="1"/>
        <v>0.35</v>
      </c>
      <c r="S32" s="1">
        <f t="shared" si="2"/>
        <v>0.44999999999999996</v>
      </c>
      <c r="T32" s="27">
        <f t="shared" si="1"/>
        <v>0.44999999999999996</v>
      </c>
      <c r="U32" s="27">
        <f t="shared" si="3"/>
        <v>0.54999999999999993</v>
      </c>
      <c r="V32" s="27">
        <f t="shared" si="1"/>
        <v>0.54999999999999993</v>
      </c>
      <c r="W32" s="1">
        <f t="shared" si="4"/>
        <v>0.64999999999999991</v>
      </c>
      <c r="X32" s="27">
        <f t="shared" si="1"/>
        <v>0.64999999999999991</v>
      </c>
      <c r="Z32" t="s">
        <v>405</v>
      </c>
    </row>
    <row r="33" spans="1:26" ht="33">
      <c r="A33" s="5"/>
      <c r="B33" t="s">
        <v>394</v>
      </c>
      <c r="C33" t="s">
        <v>406</v>
      </c>
      <c r="D33">
        <v>4</v>
      </c>
      <c r="E33" t="s">
        <v>410</v>
      </c>
      <c r="F33" s="32" t="s">
        <v>583</v>
      </c>
      <c r="G33">
        <v>0</v>
      </c>
      <c r="H33">
        <v>2</v>
      </c>
      <c r="I33">
        <v>1</v>
      </c>
      <c r="J33">
        <v>1</v>
      </c>
      <c r="K33">
        <v>2</v>
      </c>
      <c r="O33" s="35">
        <v>0.5</v>
      </c>
      <c r="P33" s="1">
        <v>0.2</v>
      </c>
      <c r="Q33" s="27">
        <f t="shared" si="0"/>
        <v>0.6</v>
      </c>
      <c r="R33" s="27">
        <f t="shared" si="1"/>
        <v>0.30000000000000004</v>
      </c>
      <c r="S33" s="1">
        <f t="shared" si="2"/>
        <v>0.7</v>
      </c>
      <c r="T33" s="27">
        <f t="shared" si="1"/>
        <v>0.4</v>
      </c>
      <c r="U33" s="27">
        <f t="shared" si="3"/>
        <v>0.79999999999999993</v>
      </c>
      <c r="V33" s="27">
        <f t="shared" si="1"/>
        <v>0.5</v>
      </c>
      <c r="W33" s="1">
        <f t="shared" si="4"/>
        <v>0.89999999999999991</v>
      </c>
      <c r="X33" s="27">
        <f t="shared" si="1"/>
        <v>0.6</v>
      </c>
      <c r="Z33" t="s">
        <v>403</v>
      </c>
    </row>
    <row r="34" spans="1:26">
      <c r="A34" s="5"/>
      <c r="B34" t="s">
        <v>396</v>
      </c>
      <c r="C34" t="s">
        <v>406</v>
      </c>
      <c r="D34">
        <v>5</v>
      </c>
      <c r="E34" t="s">
        <v>411</v>
      </c>
      <c r="F34" s="17" t="s">
        <v>580</v>
      </c>
      <c r="G34">
        <v>0</v>
      </c>
      <c r="H34">
        <v>1</v>
      </c>
      <c r="I34">
        <v>1</v>
      </c>
      <c r="J34">
        <v>1</v>
      </c>
      <c r="K34">
        <v>0</v>
      </c>
      <c r="O34" s="1">
        <v>0.7</v>
      </c>
      <c r="P34" s="1"/>
      <c r="Q34" s="27">
        <f t="shared" si="0"/>
        <v>0.79999999999999993</v>
      </c>
      <c r="R34" s="27"/>
      <c r="S34" s="1">
        <f t="shared" si="2"/>
        <v>0.89999999999999991</v>
      </c>
      <c r="T34" s="27"/>
      <c r="U34" s="27">
        <f t="shared" si="3"/>
        <v>0.99999999999999989</v>
      </c>
      <c r="V34" s="27"/>
      <c r="W34" s="1">
        <f t="shared" si="4"/>
        <v>1.0999999999999999</v>
      </c>
      <c r="X34" s="27"/>
      <c r="Y34" t="s">
        <v>388</v>
      </c>
      <c r="Z34" t="s">
        <v>403</v>
      </c>
    </row>
    <row r="35" spans="1:26">
      <c r="A35" s="5"/>
      <c r="B35" t="s">
        <v>398</v>
      </c>
      <c r="C35" t="s">
        <v>406</v>
      </c>
      <c r="D35">
        <v>6</v>
      </c>
      <c r="E35" t="s">
        <v>412</v>
      </c>
      <c r="F35" s="17" t="s">
        <v>581</v>
      </c>
      <c r="G35">
        <v>0</v>
      </c>
      <c r="H35">
        <v>0</v>
      </c>
      <c r="I35">
        <v>1</v>
      </c>
      <c r="J35">
        <v>1</v>
      </c>
      <c r="K35">
        <v>0</v>
      </c>
      <c r="O35" s="1">
        <v>1</v>
      </c>
      <c r="P35" s="1"/>
      <c r="Q35" s="27">
        <f t="shared" si="0"/>
        <v>1.1000000000000001</v>
      </c>
      <c r="R35" s="27"/>
      <c r="S35" s="1">
        <f t="shared" si="2"/>
        <v>1.2000000000000002</v>
      </c>
      <c r="T35" s="27"/>
      <c r="U35" s="27">
        <f t="shared" si="3"/>
        <v>1.3000000000000003</v>
      </c>
      <c r="V35" s="27"/>
      <c r="W35" s="1">
        <f t="shared" si="4"/>
        <v>1.4000000000000004</v>
      </c>
      <c r="X35" s="27"/>
      <c r="Y35" t="s">
        <v>390</v>
      </c>
      <c r="Z35" t="s">
        <v>404</v>
      </c>
    </row>
    <row r="36" spans="1:26">
      <c r="A36" s="5"/>
      <c r="B36" t="s">
        <v>400</v>
      </c>
      <c r="C36" t="s">
        <v>406</v>
      </c>
      <c r="D36">
        <v>7</v>
      </c>
      <c r="E36" s="17" t="s">
        <v>413</v>
      </c>
      <c r="F36" s="17" t="s">
        <v>582</v>
      </c>
      <c r="G36">
        <v>0</v>
      </c>
      <c r="H36">
        <v>1</v>
      </c>
      <c r="I36">
        <v>1</v>
      </c>
      <c r="J36">
        <v>1</v>
      </c>
      <c r="K36" s="17">
        <v>2</v>
      </c>
      <c r="L36" s="17"/>
      <c r="M36">
        <v>1</v>
      </c>
      <c r="N36">
        <v>1</v>
      </c>
      <c r="O36" s="1">
        <v>0.5</v>
      </c>
      <c r="P36" s="1">
        <v>0.5</v>
      </c>
      <c r="Q36" s="27">
        <f t="shared" si="0"/>
        <v>0.6</v>
      </c>
      <c r="R36" s="27">
        <f t="shared" si="1"/>
        <v>0.6</v>
      </c>
      <c r="S36" s="1">
        <f t="shared" si="2"/>
        <v>0.7</v>
      </c>
      <c r="T36" s="27">
        <f t="shared" si="1"/>
        <v>0.7</v>
      </c>
      <c r="U36" s="27">
        <f t="shared" si="3"/>
        <v>0.79999999999999993</v>
      </c>
      <c r="V36" s="27">
        <f t="shared" si="1"/>
        <v>0.79999999999999993</v>
      </c>
      <c r="W36" s="1">
        <f t="shared" si="4"/>
        <v>0.89999999999999991</v>
      </c>
      <c r="X36" s="27">
        <f t="shared" si="1"/>
        <v>0.89999999999999991</v>
      </c>
      <c r="Y36" t="s">
        <v>392</v>
      </c>
      <c r="Z36" t="s">
        <v>405</v>
      </c>
    </row>
    <row r="37" spans="1:26" ht="33">
      <c r="A37" s="5"/>
      <c r="B37" t="s">
        <v>402</v>
      </c>
      <c r="C37" t="s">
        <v>406</v>
      </c>
      <c r="D37">
        <v>8</v>
      </c>
      <c r="E37" t="s">
        <v>414</v>
      </c>
      <c r="F37" s="32" t="s">
        <v>583</v>
      </c>
      <c r="G37">
        <v>0</v>
      </c>
      <c r="H37">
        <v>2</v>
      </c>
      <c r="I37">
        <v>1</v>
      </c>
      <c r="J37">
        <v>1</v>
      </c>
      <c r="K37">
        <v>2</v>
      </c>
      <c r="O37" s="35">
        <v>0.7</v>
      </c>
      <c r="P37" s="1">
        <v>0.3</v>
      </c>
      <c r="Q37" s="27">
        <f t="shared" si="0"/>
        <v>0.79999999999999993</v>
      </c>
      <c r="R37" s="27">
        <f t="shared" si="1"/>
        <v>0.4</v>
      </c>
      <c r="S37" s="1">
        <f t="shared" si="2"/>
        <v>0.89999999999999991</v>
      </c>
      <c r="T37" s="27">
        <f t="shared" si="1"/>
        <v>0.5</v>
      </c>
      <c r="U37" s="27">
        <f t="shared" si="3"/>
        <v>0.99999999999999989</v>
      </c>
      <c r="V37" s="27">
        <f t="shared" si="1"/>
        <v>0.6</v>
      </c>
      <c r="W37" s="1">
        <f t="shared" si="4"/>
        <v>1.0999999999999999</v>
      </c>
      <c r="X37" s="27">
        <f t="shared" si="1"/>
        <v>0.7</v>
      </c>
      <c r="Y37" t="s">
        <v>394</v>
      </c>
      <c r="Z37" t="s">
        <v>403</v>
      </c>
    </row>
    <row r="39" spans="1:26">
      <c r="A39" t="s">
        <v>180</v>
      </c>
      <c r="B39" t="s">
        <v>14</v>
      </c>
      <c r="C39" t="s">
        <v>29</v>
      </c>
      <c r="D39" t="s">
        <v>172</v>
      </c>
      <c r="E39" t="s">
        <v>10</v>
      </c>
      <c r="F39" t="s">
        <v>12</v>
      </c>
      <c r="G39" t="s">
        <v>114</v>
      </c>
      <c r="H39" t="s">
        <v>129</v>
      </c>
      <c r="I39" t="s">
        <v>55</v>
      </c>
      <c r="J39" t="s">
        <v>118</v>
      </c>
      <c r="K39" t="s">
        <v>54</v>
      </c>
      <c r="L39" t="s">
        <v>78</v>
      </c>
      <c r="M39" t="s">
        <v>81</v>
      </c>
      <c r="N39" t="s">
        <v>79</v>
      </c>
      <c r="O39" t="s">
        <v>164</v>
      </c>
      <c r="P39" t="s">
        <v>165</v>
      </c>
      <c r="Q39" t="s">
        <v>166</v>
      </c>
      <c r="R39" t="s">
        <v>167</v>
      </c>
      <c r="S39" t="s">
        <v>168</v>
      </c>
      <c r="T39" t="s">
        <v>169</v>
      </c>
      <c r="U39" t="s">
        <v>170</v>
      </c>
      <c r="V39" t="s">
        <v>171</v>
      </c>
      <c r="W39" t="s">
        <v>220</v>
      </c>
      <c r="X39" t="s">
        <v>221</v>
      </c>
      <c r="Y39" t="s">
        <v>462</v>
      </c>
      <c r="Z39" s="20" t="s">
        <v>463</v>
      </c>
    </row>
    <row r="40" spans="1:26">
      <c r="A40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zoomScaleNormal="100" workbookViewId="0"/>
  </sheetViews>
  <sheetFormatPr defaultColWidth="9" defaultRowHeight="16.5"/>
  <cols>
    <col min="1" max="1" width="10.5" customWidth="1"/>
    <col min="2" max="3" width="20.625" customWidth="1"/>
    <col min="4" max="4" width="36" customWidth="1"/>
    <col min="5" max="24" width="20.625" customWidth="1"/>
    <col min="25" max="25" width="24.125" customWidth="1"/>
    <col min="26" max="26" width="44.5" customWidth="1"/>
    <col min="27" max="27" width="20.625" customWidth="1"/>
    <col min="28" max="28" width="19.625" customWidth="1"/>
    <col min="29" max="31" width="20.625" customWidth="1"/>
    <col min="32" max="32" width="22.875" customWidth="1"/>
    <col min="33" max="33" width="20.625" customWidth="1"/>
    <col min="34" max="34" width="26.25" customWidth="1"/>
    <col min="35" max="35" width="20.625" customWidth="1"/>
    <col min="36" max="36" width="25.375" customWidth="1"/>
    <col min="37" max="37" width="20.625" customWidth="1"/>
    <col min="38" max="38" width="25" customWidth="1"/>
    <col min="39" max="39" width="20.625" customWidth="1"/>
    <col min="40" max="40" width="24.625" customWidth="1"/>
    <col min="41" max="41" width="20.625" customWidth="1"/>
    <col min="42" max="42" width="24.625" customWidth="1"/>
    <col min="43" max="43" width="20.625" customWidth="1"/>
    <col min="44" max="44" width="24.625" customWidth="1"/>
  </cols>
  <sheetData>
    <row r="1" spans="1:44">
      <c r="A1" t="s">
        <v>175</v>
      </c>
    </row>
    <row r="2" spans="1:44">
      <c r="B2" s="45" t="s">
        <v>210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4" spans="1:44">
      <c r="A4" t="s">
        <v>176</v>
      </c>
      <c r="B4" s="6" t="s">
        <v>19</v>
      </c>
      <c r="C4" s="6" t="s">
        <v>19</v>
      </c>
      <c r="D4" s="6" t="s">
        <v>19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18</v>
      </c>
      <c r="M4" s="6" t="s">
        <v>18</v>
      </c>
      <c r="N4" s="6" t="s">
        <v>18</v>
      </c>
      <c r="O4" s="6" t="s">
        <v>18</v>
      </c>
      <c r="P4" s="6" t="s">
        <v>18</v>
      </c>
      <c r="Q4" s="6" t="s">
        <v>18</v>
      </c>
      <c r="R4" s="6" t="s">
        <v>18</v>
      </c>
      <c r="S4" s="6" t="s">
        <v>18</v>
      </c>
      <c r="T4" s="6" t="s">
        <v>177</v>
      </c>
      <c r="U4" s="6" t="s">
        <v>177</v>
      </c>
      <c r="V4" s="6" t="s">
        <v>177</v>
      </c>
      <c r="W4" s="6" t="s">
        <v>18</v>
      </c>
      <c r="X4" s="6" t="s">
        <v>19</v>
      </c>
      <c r="Y4" s="6" t="s">
        <v>19</v>
      </c>
      <c r="Z4" s="6" t="s">
        <v>19</v>
      </c>
      <c r="AA4" s="6" t="s">
        <v>18</v>
      </c>
      <c r="AB4" s="6" t="s">
        <v>18</v>
      </c>
      <c r="AC4" s="6" t="s">
        <v>18</v>
      </c>
      <c r="AD4" s="6" t="s">
        <v>18</v>
      </c>
      <c r="AE4" s="6" t="s">
        <v>18</v>
      </c>
      <c r="AF4" s="6" t="s">
        <v>22</v>
      </c>
      <c r="AG4" s="6" t="s">
        <v>18</v>
      </c>
      <c r="AH4" s="6" t="s">
        <v>18</v>
      </c>
      <c r="AI4" s="6" t="s">
        <v>177</v>
      </c>
      <c r="AJ4" s="6" t="s">
        <v>177</v>
      </c>
      <c r="AK4" s="6" t="s">
        <v>177</v>
      </c>
      <c r="AL4" s="6" t="s">
        <v>177</v>
      </c>
      <c r="AM4" s="6" t="s">
        <v>177</v>
      </c>
      <c r="AN4" s="6" t="s">
        <v>177</v>
      </c>
      <c r="AO4" s="6" t="s">
        <v>177</v>
      </c>
      <c r="AP4" s="6" t="s">
        <v>177</v>
      </c>
      <c r="AQ4" s="6" t="s">
        <v>177</v>
      </c>
      <c r="AR4" s="6" t="s">
        <v>177</v>
      </c>
    </row>
    <row r="5" spans="1:44" ht="33">
      <c r="A5" t="s">
        <v>178</v>
      </c>
      <c r="B5" s="6" t="s">
        <v>21</v>
      </c>
      <c r="C5" s="6" t="s">
        <v>16</v>
      </c>
      <c r="D5" s="6" t="s">
        <v>30</v>
      </c>
      <c r="E5" s="7" t="s">
        <v>147</v>
      </c>
      <c r="F5" s="7" t="s">
        <v>148</v>
      </c>
      <c r="G5" s="7" t="s">
        <v>149</v>
      </c>
      <c r="H5" s="7" t="s">
        <v>222</v>
      </c>
      <c r="I5" s="7" t="s">
        <v>223</v>
      </c>
      <c r="J5" s="7" t="s">
        <v>150</v>
      </c>
      <c r="K5" s="7" t="s">
        <v>151</v>
      </c>
      <c r="L5" s="7" t="s">
        <v>152</v>
      </c>
      <c r="M5" s="7" t="s">
        <v>226</v>
      </c>
      <c r="N5" s="7" t="s">
        <v>228</v>
      </c>
      <c r="O5" s="7" t="s">
        <v>153</v>
      </c>
      <c r="P5" s="7" t="s">
        <v>154</v>
      </c>
      <c r="Q5" s="7" t="s">
        <v>155</v>
      </c>
      <c r="R5" s="7" t="s">
        <v>230</v>
      </c>
      <c r="S5" s="7" t="s">
        <v>232</v>
      </c>
      <c r="T5" s="7" t="s">
        <v>32</v>
      </c>
      <c r="U5" s="7" t="s">
        <v>33</v>
      </c>
      <c r="V5" s="7" t="s">
        <v>72</v>
      </c>
      <c r="W5" s="7" t="s">
        <v>31</v>
      </c>
      <c r="X5" s="6" t="s">
        <v>15</v>
      </c>
      <c r="Y5" s="6" t="s">
        <v>17</v>
      </c>
      <c r="Z5" s="7" t="s">
        <v>48</v>
      </c>
      <c r="AA5" s="7" t="s">
        <v>113</v>
      </c>
      <c r="AB5" s="7" t="s">
        <v>49</v>
      </c>
      <c r="AC5" s="7" t="s">
        <v>50</v>
      </c>
      <c r="AD5" s="7" t="s">
        <v>116</v>
      </c>
      <c r="AE5" s="7" t="s">
        <v>51</v>
      </c>
      <c r="AF5" s="7" t="s">
        <v>82</v>
      </c>
      <c r="AG5" s="7" t="s">
        <v>83</v>
      </c>
      <c r="AH5" s="7" t="s">
        <v>194</v>
      </c>
      <c r="AI5" s="7" t="s">
        <v>136</v>
      </c>
      <c r="AJ5" s="7" t="s">
        <v>137</v>
      </c>
      <c r="AK5" s="7" t="s">
        <v>139</v>
      </c>
      <c r="AL5" s="7" t="s">
        <v>141</v>
      </c>
      <c r="AM5" s="7" t="s">
        <v>144</v>
      </c>
      <c r="AN5" s="7" t="s">
        <v>143</v>
      </c>
      <c r="AO5" s="7" t="s">
        <v>234</v>
      </c>
      <c r="AP5" s="7" t="s">
        <v>235</v>
      </c>
      <c r="AQ5" s="7" t="s">
        <v>238</v>
      </c>
      <c r="AR5" s="7" t="s">
        <v>239</v>
      </c>
    </row>
    <row r="6" spans="1:44" ht="49.5">
      <c r="A6" t="s">
        <v>179</v>
      </c>
      <c r="B6" s="6" t="s">
        <v>292</v>
      </c>
      <c r="C6" s="6" t="s">
        <v>282</v>
      </c>
      <c r="D6" s="7" t="s">
        <v>287</v>
      </c>
      <c r="E6" s="6"/>
      <c r="F6" s="6"/>
      <c r="G6" s="6"/>
      <c r="H6" s="6"/>
      <c r="I6" s="6"/>
      <c r="J6" s="6">
        <v>1</v>
      </c>
      <c r="K6" s="6">
        <v>2</v>
      </c>
      <c r="L6" s="6">
        <v>3</v>
      </c>
      <c r="M6" s="6">
        <v>4</v>
      </c>
      <c r="N6" s="6">
        <v>5</v>
      </c>
      <c r="O6" s="6"/>
      <c r="P6" s="6"/>
      <c r="Q6" s="6"/>
      <c r="R6" s="6"/>
      <c r="S6" s="6"/>
      <c r="T6" s="6"/>
      <c r="U6" s="6"/>
      <c r="V6" s="6"/>
      <c r="W6" s="6"/>
      <c r="X6" s="6" t="s">
        <v>297</v>
      </c>
      <c r="Y6" s="6" t="s">
        <v>302</v>
      </c>
      <c r="Z6" s="33" t="s">
        <v>533</v>
      </c>
      <c r="AA6" s="7">
        <v>0</v>
      </c>
      <c r="AB6" s="6">
        <v>0</v>
      </c>
      <c r="AC6" s="6">
        <v>0</v>
      </c>
      <c r="AD6" s="6">
        <v>0</v>
      </c>
      <c r="AE6" s="6">
        <v>0</v>
      </c>
      <c r="AF6" s="6"/>
      <c r="AG6" s="6"/>
      <c r="AH6" s="6"/>
      <c r="AI6" s="9">
        <v>0.8</v>
      </c>
      <c r="AJ6" s="9"/>
      <c r="AK6" s="9">
        <v>0.9</v>
      </c>
      <c r="AL6" s="9" t="str">
        <f t="shared" ref="AL6:AR10" si="0">IFERROR(IF(ROUND(AJ6*1.2,1)=0,"",ROUND(AJ6*1.2,1)),"")</f>
        <v/>
      </c>
      <c r="AM6" s="9">
        <v>1</v>
      </c>
      <c r="AN6" s="9" t="str">
        <f t="shared" si="0"/>
        <v/>
      </c>
      <c r="AO6" s="9">
        <v>1.1000000000000001</v>
      </c>
      <c r="AP6" s="9" t="str">
        <f t="shared" si="0"/>
        <v/>
      </c>
      <c r="AQ6" s="9">
        <v>1.2</v>
      </c>
      <c r="AR6" s="9" t="str">
        <f t="shared" si="0"/>
        <v/>
      </c>
    </row>
    <row r="7" spans="1:44" ht="33">
      <c r="B7" s="6" t="s">
        <v>293</v>
      </c>
      <c r="C7" s="6" t="s">
        <v>283</v>
      </c>
      <c r="D7" s="7" t="s">
        <v>288</v>
      </c>
      <c r="E7" s="6"/>
      <c r="F7" s="6"/>
      <c r="G7" s="6"/>
      <c r="H7" s="6"/>
      <c r="I7" s="6"/>
      <c r="J7" s="6">
        <v>1</v>
      </c>
      <c r="K7" s="6">
        <v>2</v>
      </c>
      <c r="L7" s="6">
        <v>3</v>
      </c>
      <c r="M7" s="6">
        <v>4</v>
      </c>
      <c r="N7" s="6">
        <v>5</v>
      </c>
      <c r="O7" s="6"/>
      <c r="P7" s="6"/>
      <c r="Q7" s="6"/>
      <c r="R7" s="6"/>
      <c r="S7" s="6"/>
      <c r="T7" s="6"/>
      <c r="U7" s="6"/>
      <c r="V7" s="6"/>
      <c r="W7" s="6"/>
      <c r="X7" s="6" t="s">
        <v>298</v>
      </c>
      <c r="Y7" s="6" t="s">
        <v>303</v>
      </c>
      <c r="Z7" s="33" t="s">
        <v>534</v>
      </c>
      <c r="AA7" s="7">
        <v>0</v>
      </c>
      <c r="AB7" s="6">
        <v>0</v>
      </c>
      <c r="AC7" s="6">
        <v>1</v>
      </c>
      <c r="AD7" s="6">
        <v>1</v>
      </c>
      <c r="AE7" s="6">
        <v>2</v>
      </c>
      <c r="AF7" s="6"/>
      <c r="AG7" s="6"/>
      <c r="AH7" s="6"/>
      <c r="AI7" s="9">
        <v>0.3</v>
      </c>
      <c r="AJ7" s="9"/>
      <c r="AK7" s="9">
        <v>0.4</v>
      </c>
      <c r="AL7" s="9" t="str">
        <f t="shared" si="0"/>
        <v/>
      </c>
      <c r="AM7" s="9">
        <v>0.5</v>
      </c>
      <c r="AN7" s="9" t="str">
        <f t="shared" si="0"/>
        <v/>
      </c>
      <c r="AO7" s="9">
        <v>0.6</v>
      </c>
      <c r="AP7" s="9" t="str">
        <f t="shared" si="0"/>
        <v/>
      </c>
      <c r="AQ7" s="9">
        <v>0.7</v>
      </c>
      <c r="AR7" s="9" t="str">
        <f t="shared" si="0"/>
        <v/>
      </c>
    </row>
    <row r="8" spans="1:44" ht="49.5">
      <c r="B8" s="6" t="s">
        <v>294</v>
      </c>
      <c r="C8" s="6" t="s">
        <v>284</v>
      </c>
      <c r="D8" s="7" t="s">
        <v>289</v>
      </c>
      <c r="E8" s="6"/>
      <c r="F8" s="6"/>
      <c r="G8" s="6"/>
      <c r="H8" s="6"/>
      <c r="I8" s="6"/>
      <c r="J8" s="6"/>
      <c r="K8" s="6"/>
      <c r="L8" s="6"/>
      <c r="M8" s="6"/>
      <c r="N8" s="6"/>
      <c r="O8" s="6">
        <v>1</v>
      </c>
      <c r="P8" s="6">
        <v>2</v>
      </c>
      <c r="Q8" s="6">
        <v>3</v>
      </c>
      <c r="R8" s="6">
        <v>4</v>
      </c>
      <c r="S8" s="6">
        <v>5</v>
      </c>
      <c r="T8" s="6"/>
      <c r="U8" s="6"/>
      <c r="V8" s="6"/>
      <c r="W8" s="6"/>
      <c r="X8" s="6" t="s">
        <v>299</v>
      </c>
      <c r="Y8" s="6" t="s">
        <v>304</v>
      </c>
      <c r="Z8" s="33" t="s">
        <v>536</v>
      </c>
      <c r="AA8" s="7">
        <v>0</v>
      </c>
      <c r="AB8" s="7">
        <v>3</v>
      </c>
      <c r="AC8" s="7">
        <v>1</v>
      </c>
      <c r="AD8" s="7">
        <v>1</v>
      </c>
      <c r="AE8" s="7">
        <v>0</v>
      </c>
      <c r="AF8" s="7"/>
      <c r="AG8" s="7"/>
      <c r="AH8" s="7"/>
      <c r="AI8" s="24">
        <v>0.3</v>
      </c>
      <c r="AJ8" s="24"/>
      <c r="AK8" s="9">
        <v>0.35</v>
      </c>
      <c r="AL8" s="9" t="str">
        <f t="shared" si="0"/>
        <v/>
      </c>
      <c r="AM8" s="9">
        <v>0.4</v>
      </c>
      <c r="AN8" s="9" t="str">
        <f t="shared" si="0"/>
        <v/>
      </c>
      <c r="AO8" s="9">
        <v>0.45</v>
      </c>
      <c r="AP8" s="9" t="str">
        <f t="shared" si="0"/>
        <v/>
      </c>
      <c r="AQ8" s="9">
        <v>0.5</v>
      </c>
      <c r="AR8" s="9" t="str">
        <f t="shared" si="0"/>
        <v/>
      </c>
    </row>
    <row r="9" spans="1:44" ht="49.5">
      <c r="B9" s="6" t="s">
        <v>295</v>
      </c>
      <c r="C9" s="6" t="s">
        <v>285</v>
      </c>
      <c r="D9" s="7" t="s">
        <v>290</v>
      </c>
      <c r="E9" s="6">
        <v>1</v>
      </c>
      <c r="F9" s="6">
        <v>2</v>
      </c>
      <c r="G9" s="6">
        <v>3</v>
      </c>
      <c r="H9" s="6">
        <v>4</v>
      </c>
      <c r="I9" s="6">
        <v>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300</v>
      </c>
      <c r="Y9" s="6" t="s">
        <v>305</v>
      </c>
      <c r="Z9" s="33" t="s">
        <v>535</v>
      </c>
      <c r="AA9" s="7">
        <v>0</v>
      </c>
      <c r="AB9" s="7">
        <v>1</v>
      </c>
      <c r="AC9" s="7">
        <v>1</v>
      </c>
      <c r="AD9" s="7">
        <v>1</v>
      </c>
      <c r="AE9" s="7">
        <v>0</v>
      </c>
      <c r="AF9" s="7"/>
      <c r="AG9" s="7"/>
      <c r="AH9" s="7"/>
      <c r="AI9" s="24">
        <v>0.3</v>
      </c>
      <c r="AJ9" s="24"/>
      <c r="AK9" s="9">
        <v>0.35</v>
      </c>
      <c r="AL9" s="9" t="str">
        <f t="shared" si="0"/>
        <v/>
      </c>
      <c r="AM9" s="9">
        <v>0.4</v>
      </c>
      <c r="AN9" s="9" t="str">
        <f t="shared" si="0"/>
        <v/>
      </c>
      <c r="AO9" s="9">
        <v>0.45</v>
      </c>
      <c r="AP9" s="9" t="str">
        <f t="shared" si="0"/>
        <v/>
      </c>
      <c r="AQ9" s="9">
        <v>0.5</v>
      </c>
      <c r="AR9" s="9" t="str">
        <f t="shared" si="0"/>
        <v/>
      </c>
    </row>
    <row r="10" spans="1:44" ht="49.5">
      <c r="B10" s="6" t="s">
        <v>296</v>
      </c>
      <c r="C10" s="6" t="s">
        <v>286</v>
      </c>
      <c r="D10" s="7" t="s">
        <v>291</v>
      </c>
      <c r="E10" s="6">
        <v>1</v>
      </c>
      <c r="F10" s="6">
        <v>2</v>
      </c>
      <c r="G10" s="6">
        <v>3</v>
      </c>
      <c r="H10" s="6">
        <v>4</v>
      </c>
      <c r="I10" s="6">
        <v>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s">
        <v>301</v>
      </c>
      <c r="Y10" s="6" t="s">
        <v>306</v>
      </c>
      <c r="Z10" s="33" t="s">
        <v>537</v>
      </c>
      <c r="AA10" s="7">
        <v>0</v>
      </c>
      <c r="AB10" s="6">
        <v>4</v>
      </c>
      <c r="AC10" s="6">
        <v>1</v>
      </c>
      <c r="AD10" s="6">
        <v>1</v>
      </c>
      <c r="AE10" s="6">
        <v>2</v>
      </c>
      <c r="AF10" s="6"/>
      <c r="AG10" s="6"/>
      <c r="AH10" s="6"/>
      <c r="AI10" s="9">
        <v>0.1</v>
      </c>
      <c r="AJ10" s="9"/>
      <c r="AK10" s="9">
        <v>0.15</v>
      </c>
      <c r="AL10" s="9" t="str">
        <f t="shared" si="0"/>
        <v/>
      </c>
      <c r="AM10" s="9">
        <v>0.2</v>
      </c>
      <c r="AN10" s="9" t="str">
        <f t="shared" si="0"/>
        <v/>
      </c>
      <c r="AO10" s="9">
        <v>0.25</v>
      </c>
      <c r="AP10" s="9" t="str">
        <f t="shared" si="0"/>
        <v/>
      </c>
      <c r="AQ10" s="9">
        <v>0.3</v>
      </c>
      <c r="AR10" s="9" t="str">
        <f t="shared" si="0"/>
        <v/>
      </c>
    </row>
    <row r="12" spans="1:44">
      <c r="A12" t="s">
        <v>180</v>
      </c>
    </row>
    <row r="13" spans="1:44" ht="99">
      <c r="A13" t="s">
        <v>175</v>
      </c>
      <c r="B13" s="2" t="s">
        <v>195</v>
      </c>
      <c r="C13" s="3" t="s">
        <v>196</v>
      </c>
      <c r="D13" s="3" t="s">
        <v>184</v>
      </c>
      <c r="E13" s="3" t="s">
        <v>197</v>
      </c>
      <c r="F13" s="3" t="s">
        <v>198</v>
      </c>
      <c r="G13" s="3" t="s">
        <v>199</v>
      </c>
      <c r="H13" s="3" t="s">
        <v>224</v>
      </c>
      <c r="I13" s="3" t="s">
        <v>225</v>
      </c>
      <c r="J13" s="3" t="s">
        <v>200</v>
      </c>
      <c r="K13" s="3" t="s">
        <v>201</v>
      </c>
      <c r="L13" s="3" t="s">
        <v>202</v>
      </c>
      <c r="M13" s="3" t="s">
        <v>227</v>
      </c>
      <c r="N13" s="3" t="s">
        <v>229</v>
      </c>
      <c r="O13" s="3" t="s">
        <v>203</v>
      </c>
      <c r="P13" s="3" t="s">
        <v>204</v>
      </c>
      <c r="Q13" s="3" t="s">
        <v>205</v>
      </c>
      <c r="R13" s="3" t="s">
        <v>231</v>
      </c>
      <c r="S13" s="3" t="s">
        <v>233</v>
      </c>
      <c r="T13" s="3" t="s">
        <v>206</v>
      </c>
      <c r="U13" s="3" t="s">
        <v>207</v>
      </c>
      <c r="V13" s="3" t="s">
        <v>208</v>
      </c>
      <c r="W13" s="3" t="s">
        <v>209</v>
      </c>
      <c r="X13" s="3" t="s">
        <v>212</v>
      </c>
      <c r="Y13" s="6" t="s">
        <v>213</v>
      </c>
      <c r="Z13" s="7" t="s">
        <v>214</v>
      </c>
      <c r="AA13" s="14" t="s">
        <v>114</v>
      </c>
      <c r="AB13" s="7" t="s">
        <v>307</v>
      </c>
      <c r="AC13" s="7" t="s">
        <v>52</v>
      </c>
      <c r="AD13" s="7" t="s">
        <v>119</v>
      </c>
      <c r="AE13" s="7" t="s">
        <v>53</v>
      </c>
      <c r="AF13" s="7" t="s">
        <v>84</v>
      </c>
      <c r="AG13" s="7" t="s">
        <v>85</v>
      </c>
      <c r="AH13" s="7" t="s">
        <v>86</v>
      </c>
      <c r="AI13" s="7" t="s">
        <v>135</v>
      </c>
      <c r="AJ13" s="7" t="s">
        <v>138</v>
      </c>
      <c r="AK13" s="7" t="s">
        <v>140</v>
      </c>
      <c r="AL13" s="7" t="s">
        <v>142</v>
      </c>
      <c r="AM13" s="7" t="s">
        <v>145</v>
      </c>
      <c r="AN13" s="7" t="s">
        <v>146</v>
      </c>
      <c r="AO13" s="7" t="s">
        <v>236</v>
      </c>
      <c r="AP13" s="7" t="s">
        <v>237</v>
      </c>
      <c r="AQ13" s="7" t="s">
        <v>240</v>
      </c>
      <c r="AR13" s="7" t="s">
        <v>241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윤태일</cp:lastModifiedBy>
  <dcterms:created xsi:type="dcterms:W3CDTF">2026-03-30T01:14:21Z</dcterms:created>
  <dcterms:modified xsi:type="dcterms:W3CDTF">2026-10-22T02:56:04Z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