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2104200016\Downloads\"/>
    </mc:Choice>
  </mc:AlternateContent>
  <xr:revisionPtr revIDLastSave="0" documentId="13_ncr:1_{D9D31F93-404F-4A17-864A-9E4E5FA7C23C}" xr6:coauthVersionLast="36" xr6:coauthVersionMax="36" xr10:uidLastSave="{00000000-0000-0000-0000-000000000000}"/>
  <bookViews>
    <workbookView xWindow="-120" yWindow="-120" windowWidth="38640" windowHeight="15720" tabRatio="834" activeTab="6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S31" i="39"/>
  <c r="U31" i="39" s="1"/>
  <c r="W31" i="39" s="1"/>
  <c r="S32" i="39"/>
  <c r="U32" i="39" s="1"/>
  <c r="W32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Q32" i="39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<sst xmlns="http://schemas.openxmlformats.org/spreadsheetml/2006/main" count="976" uniqueCount="581">
  <si>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</si>
  <si>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</si>
  <si>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</si>
  <si>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</si>
  <si>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</si>
  <si>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</si>
  <si>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</si>
  <si>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</si>
  <si>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</si>
  <si>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</si>
  <si>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</si>
  <si>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</si>
  <si>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</si>
  <si>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</si>
  <si>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</si>
  <si>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</si>
  <si>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</si>
  <si>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</si>
  <si>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</si>
  <si>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</si>
  <si>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</si>
  <si>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</si>
  <si>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</si>
  <si>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</si>
  <si>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</si>
  <si>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</si>
  <si>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</si>
  <si>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</si>
  <si>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</si>
  <si>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</si>
  <si>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</si>
  <si>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</si>
  <si>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</si>
  <si>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</si>
  <si>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</si>
  <si>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</si>
  <si>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</si>
  <si>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</si>
  <si>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</si>
  <si>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</si>
  <si>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</si>
  <si>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</si>
  <si>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</si>
  <si>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</si>
  <si>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</si>
  <si>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</si>
  <si>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</si>
  <si>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</si>
  <si>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</si>
  <si>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</si>
  <si>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</si>
  <si>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</si>
  <si>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</si>
  <si>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</si>
  <si>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</si>
  <si>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</si>
  <si>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</si>
  <si>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</si>
  <si>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</si>
  <si>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</si>
  <si>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</si>
  <si>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</si>
  <si>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</si>
  <si>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</si>
  <si>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</si>
  <si>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</si>
  <si>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</si>
  <si>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</si>
  <si>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</si>
  <si>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</si>
  <si>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</si>
  <si>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</si>
  <si>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</si>
  <si>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</si>
  <si>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</si>
  <si>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</si>
  <si>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</si>
  <si>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</si>
  <si>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</si>
  <si>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</si>
  <si>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</si>
  <si>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</si>
  <si>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</si>
  <si>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</si>
  <si>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</si>
  <si>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</si>
  <si>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</si>
  <si>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</si>
  <si>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</si>
  <si>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</si>
  <si>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</si>
  <si>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</si>
  <si>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</si>
  <si>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</si>
  <si>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</si>
  <si>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</si>
  <si>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</si>
  <si>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</si>
  <si>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</si>
  <si>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</si>
  <si>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</si>
  <si>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</si>
  <si>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</si>
  <si>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</si>
  <si>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</si>
  <si>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</si>
  <si>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</si>
  <si>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</si>
  <si>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</si>
  <si>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</si>
  <si>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</si>
  <si>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</si>
  <si>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</si>
  <si>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</si>
  <si>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</si>
  <si>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</si>
  <si>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</si>
  <si>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</si>
  <si>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</si>
  <si>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</si>
  <si>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</si>
  <si>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</si>
  <si>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</si>
  <si>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</si>
  <si>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</si>
  <si>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</si>
  <si>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</si>
  <si>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</si>
  <si>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</si>
  <si>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</si>
  <si>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</si>
  <si>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</si>
  <si>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</si>
  <si>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</si>
  <si>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</si>
  <si>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</si>
  <si>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</si>
  <si>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</si>
  <si>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</si>
  <si>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</si>
  <si>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</si>
  <si>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</si>
  <si>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</si>
  <si>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</si>
  <si>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</si>
  <si>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</si>
  <si>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</si>
  <si>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</si>
  <si>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</si>
  <si>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</si>
  <si>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</si>
  <si>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</si>
  <si>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</si>
  <si>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</si>
  <si>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</si>
  <si>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</si>
  <si>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</si>
  <si>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</si>
  <si>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</si>
  <si>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</si>
  <si>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</si>
  <si>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</si>
  <si>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</si>
  <si>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</si>
  <si>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</si>
  <si>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</si>
  <si>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</si>
  <si>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</si>
  <si>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</si>
  <si>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</si>
  <si>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</si>
  <si>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</si>
  <si>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</si>
  <si>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</si>
  <si>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</si>
  <si>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</si>
  <si>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</si>
  <si>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</si>
  <si>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</si>
  <si>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</si>
  <si>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</si>
  <si>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</si>
  <si>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</si>
  <si>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</si>
  <si>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</si>
  <si>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</si>
  <si>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</si>
  <si>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</si>
  <si>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</si>
  <si>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</si>
  <si>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</si>
  <si>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</si>
  <si>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</si>
  <si>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</si>
  <si>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</si>
  <si>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</si>
  <si>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</si>
  <si>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</si>
  <si>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</si>
  <si>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</si>
  <si>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</si>
  <si>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</si>
  <si>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</si>
  <si>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</si>
  <si>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</si>
  <si>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</si>
  <si>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</si>
  <si>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</si>
  <si>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</si>
  <si>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</si>
  <si>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</si>
  <si>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</si>
  <si>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</si>
  <si>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</si>
  <si>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</si>
  <si>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</si>
  <si>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</si>
  <si>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</si>
  <si>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</si>
  <si>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</si>
  <si>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</si>
  <si>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</si>
  <si>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</si>
  <si>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</si>
  <si>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</si>
  <si>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</si>
  <si>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</si>
  <si>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</si>
  <si>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</si>
  <si>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</si>
  <si>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</si>
  <si>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</si>
  <si>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</si>
  <si>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</si>
  <si>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</si>
  <si>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</si>
  <si>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</si>
  <si>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</si>
  <si>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</si>
  <si>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</si>
  <si>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</si>
  <si>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</si>
  <si>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</si>
  <si>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</si>
  <si>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</si>
  <si>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</si>
  <si>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</si>
  <si>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</si>
  <si>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</si>
  <si>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</si>
  <si>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</si>
  <si>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</si>
  <si>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</si>
  <si>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</si>
  <si>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</si>
  <si>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</si>
  <si>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</si>
  <si>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</si>
  <si>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</si>
  <si>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</si>
  <si>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</si>
  <si>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</si>
  <si>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</si>
  <si>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</si>
  <si>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</si>
  <si>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</si>
  <si>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</si>
  <si>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</si>
  <si>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</si>
  <si>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</si>
  <si>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</si>
  <si>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</si>
  <si>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</si>
  <si>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</si>
  <si>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</si>
  <si>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</si>
  <si>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</si>
  <si>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</si>
  <si>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</si>
  <si>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</si>
  <si>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</si>
  <si>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</si>
  <si>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</si>
  <si>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</si>
  <si>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</si>
  <si>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</si>
  <si>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</si>
  <si>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</si>
  <si>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</si>
  <si>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</si>
  <si>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</si>
  <si>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</si>
  <si>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</si>
  <si>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</si>
  <si>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</si>
  <si>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</si>
  <si>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</si>
  <si>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</si>
  <si>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</si>
  <si>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</si>
  <si>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</si>
  <si>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</si>
  <si>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</si>
  <si>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</si>
  <si>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</si>
  <si>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</si>
  <si>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</si>
  <si>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</si>
  <si>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</si>
  <si>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</si>
  <si>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</si>
  <si>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</si>
  <si>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</si>
  <si>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</si>
  <si>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</si>
  <si>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</si>
  <si>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</si>
  <si>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</si>
  <si>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</si>
  <si>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</si>
  <si>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</si>
  <si>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</si>
  <si>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</si>
  <si>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</si>
  <si>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</si>
  <si>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</si>
  <si>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</si>
  <si>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</si>
  <si>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</si>
  <si>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</si>
  <si>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</si>
  <si>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</si>
  <si>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</si>
  <si>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</si>
  <si>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</si>
  <si>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</si>
  <si>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</si>
  <si>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</si>
  <si>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</si>
  <si>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</si>
  <si>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</si>
  <si>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</si>
  <si>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</si>
  <si>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</si>
  <si>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</si>
  <si>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</si>
  <si>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</si>
  <si>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</si>
  <si>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</si>
  <si>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</si>
  <si>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</si>
  <si>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</si>
  <si>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</si>
  <si>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</si>
  <si>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</si>
  <si>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</si>
  <si>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</si>
  <si>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</si>
  <si>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</si>
  <si>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</si>
  <si>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</si>
  <si>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</si>
  <si>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</si>
  <si>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</si>
  <si>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</si>
  <si>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</si>
  <si>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</si>
  <si>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</si>
  <si>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</si>
  <si>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</si>
  <si>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</si>
  <si>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</si>
  <si>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</si>
  <si>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</si>
  <si>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</si>
  <si>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</si>
  <si>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</si>
  <si>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</si>
  <si>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</si>
  <si>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</si>
  <si>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</si>
  <si>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</si>
  <si>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</si>
  <si>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</si>
  <si>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</si>
  <si>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</si>
  <si>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</si>
  <si>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</si>
  <si>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</si>
  <si>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</si>
  <si>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</si>
  <si>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</si>
  <si>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</si>
  <si>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</si>
  <si>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</si>
  <si>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</si>
  <si>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</si>
  <si>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</si>
  <si>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</si>
  <si>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</si>
  <si>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</si>
  <si>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</si>
  <si>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</si>
  <si>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</si>
  <si>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</si>
  <si>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</si>
  <si>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</si>
  <si>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</si>
  <si>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</si>
  <si>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</si>
  <si>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</si>
  <si>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</si>
  <si>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</si>
  <si>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</si>
  <si>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</si>
  <si>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</si>
  <si>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</si>
  <si>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</si>
  <si>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</si>
  <si>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</si>
  <si>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</si>
  <si>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</si>
  <si>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</si>
  <si>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</si>
  <si>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</si>
  <si>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</si>
  <si>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</si>
  <si>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</si>
  <si>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</si>
  <si>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</si>
  <si>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</si>
  <si>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</si>
  <si>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</si>
  <si>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</si>
  <si>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</si>
  <si>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</si>
  <si>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</si>
  <si>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</si>
  <si>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</si>
  <si>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</si>
  <si>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</si>
  <si>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</si>
  <si>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</si>
  <si>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</si>
  <si>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</si>
  <si>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</si>
  <si>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</si>
  <si>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</si>
  <si>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</si>
  <si>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</si>
  <si>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</si>
  <si>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</si>
  <si>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</si>
  <si>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</si>
  <si>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</si>
  <si>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</si>
  <si>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</si>
  <si>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</si>
  <si>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</si>
  <si>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</si>
  <si>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</si>
  <si>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</si>
  <si>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</si>
  <si>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</si>
  <si>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</si>
  <si>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</si>
  <si>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</si>
  <si>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</si>
  <si>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</si>
  <si>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</si>
  <si>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</si>
  <si>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</si>
  <si>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</si>
  <si>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</si>
  <si>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</si>
  <si>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</si>
  <si>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</si>
  <si>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</si>
  <si>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</si>
  <si>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</si>
  <si>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</si>
  <si>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</si>
  <si>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</si>
  <si>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</si>
  <si>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</si>
  <si>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</si>
  <si>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</si>
  <si>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</si>
  <si>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</si>
  <si>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</si>
  <si>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</si>
  <si>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</si>
  <si>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다음 자신의 차례까지 아군 유닛을 공격하는 플레이어의 단일 공격을 1회 방어한다.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</si>
  <si>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</si>
  <si>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</si>
  <si>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</si>
  <si>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</si>
  <si>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</si>
  <si>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</si>
  <si>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</si>
  <si>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</si>
  <si>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</si>
  <si>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</si>
  <si>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</si>
  <si>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</si>
  <si>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</si>
  <si>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</si>
  <si>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</si>
  <si>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</si>
  <si>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</si>
  <si>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</si>
  <si>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</si>
  <si>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TUFEP001</t>
    <phoneticPr fontId="1" type="noConversion"/>
  </si>
  <si>
    <t>튜토리얼 파티 2</t>
    <phoneticPr fontId="1" type="noConversion"/>
  </si>
  <si>
    <t>튜토리얼 파티 1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</si>
  <si>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</si>
  <si>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</si>
  <si>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</si>
  <si>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</si>
  <si>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</si>
  <si>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</si>
  <si>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</si>
  <si>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</si>
  <si>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</si>
  <si>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</si>
  <si>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</si>
  <si>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강화병 체력 40 → 100
프리즘 익스플로전 설명 오류 수정</t>
    <phoneticPr fontId="1" type="noConversion"/>
  </si>
  <si>
    <t>드론 공격력 조정</t>
    <phoneticPr fontId="9" type="noConversion"/>
  </si>
  <si>
    <t>강현재</t>
    <phoneticPr fontId="9" type="noConversion"/>
  </si>
  <si>
    <t>V5.5</t>
    <phoneticPr fontId="9" type="noConversion"/>
  </si>
  <si>
    <t>V1.0</t>
    <phoneticPr fontId="1" type="noConversion"/>
  </si>
  <si>
    <t>베타 전투 밸런스 데이터 테이블</t>
    <phoneticPr fontId="1" type="noConversion"/>
  </si>
  <si>
    <t>강현재</t>
    <phoneticPr fontId="1" type="noConversion"/>
  </si>
  <si>
    <r>
      <t xml:space="preserve">적 1명에게 대미지를 주고, 다음 자신의 차례 전까지 모든 적의 단일 공격 대상을 자신으로 변경한다.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 (전열 우선)</t>
    </r>
    <phoneticPr fontId="1" type="noConversion"/>
  </si>
  <si>
    <r>
      <t xml:space="preserve">적 1명에게 대미지를 주며, 대상이 전열에 있을 경우 추가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전열일 경우 </t>
    </r>
    <r>
      <rPr>
        <sz val="11"/>
        <color rgb="FFFF0000"/>
        <rFont val="맑은 고딕"/>
        <family val="3"/>
        <charset val="129"/>
        <scheme val="minor"/>
      </rPr>
      <t>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 (전열 우선)</t>
    </r>
    <phoneticPr fontId="1" type="noConversion"/>
  </si>
  <si>
    <r>
      <t xml:space="preserve">모든 적에게 대미지를 주고, 다음 자신의 차례 전까지 모든 적의 단일 공격 대상을 자신으로 변경한다.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</si>
  <si>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 1명에게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</si>
  <si>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적을 관통해 해당 가로줄의 전열과 후열에 있는 적을 모두 공격한다. 전열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후열 기본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</si>
  <si>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선택한 적 1명과 인접한 적 1명에게 대미지를 준다. 선택한 적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인접한 적 기본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</si>
  <si>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적의 세로줄 하나에 있는 모든 적에게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</si>
  <si>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모든 적에게 대미지를 주고, 각 대상의 현재 체력이 50% 미만일 경우 추가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조건 충족 시,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추가 대미지</t>
    </r>
    <phoneticPr fontId="1" type="noConversion"/>
  </si>
  <si>
    <r>
      <t xml:space="preserve">적 1명에게 2회 공격한다. 1회당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 (치명타, 피해 경감율 판정은 각각 계산한다.)</t>
    </r>
    <phoneticPr fontId="1" type="noConversion"/>
  </si>
  <si>
    <r>
      <t xml:space="preserve">적의 체력이 낮을수록 높은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대상의 최대 체력 대비 잃은 체력 10%당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추가 대미지</t>
    </r>
    <phoneticPr fontId="1" type="noConversion"/>
  </si>
  <si>
    <r>
      <t xml:space="preserve">아군 1명 체력을 회복한다. </t>
    </r>
    <r>
      <rPr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 xml:space="preserve"> 회복</t>
    </r>
    <phoneticPr fontId="1" type="noConversion"/>
  </si>
  <si>
    <r>
      <t xml:space="preserve">적 1명에게 대미지를 주고, 실제 입힌 대미지만큼 무작위 아군 1명의 체력을 회복한다.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{UnitATK}*{ClassSkillValue} </t>
    </r>
    <r>
      <rPr>
        <sz val="11"/>
        <color theme="1"/>
        <rFont val="맑은 고딕"/>
        <family val="2"/>
        <charset val="129"/>
        <scheme val="minor"/>
      </rPr>
      <t>대미지</t>
    </r>
    <phoneticPr fontId="1" type="noConversion"/>
  </si>
  <si>
    <r>
      <t xml:space="preserve">리타이어한 아군 1명을 부활시키고 모든 적에게 대미지를 준다. 선택한 아군 </t>
    </r>
    <r>
      <rPr>
        <sz val="11"/>
        <color rgb="FFFF0000"/>
        <rFont val="맑은 고딕"/>
        <family val="3"/>
        <charset val="129"/>
        <scheme val="minor"/>
      </rPr>
      <t>UnitMaxHP의{ClassSkillSubValue}</t>
    </r>
    <r>
      <rPr>
        <sz val="11"/>
        <color theme="1"/>
        <rFont val="맑은 고딕"/>
        <family val="2"/>
        <charset val="129"/>
        <scheme val="minor"/>
      </rPr>
      <t xml:space="preserve">로 부활, 적 전체에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
단, 부활 효과는 전투당 1회만 적용되며, 이후 사용 시에는 적 전체 공격 효과만 적용된다.</t>
    </r>
    <phoneticPr fontId="1" type="noConversion"/>
  </si>
  <si>
    <r>
      <t xml:space="preserve">히어로젬의 힘으로 적 1명을 공격한다.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{UnitATK}*{WeaponSkillValue} </t>
    </r>
    <r>
      <rPr>
        <sz val="11"/>
        <rFont val="맑은 고딕"/>
        <family val="3"/>
        <charset val="129"/>
        <scheme val="minor"/>
      </rPr>
      <t>대미지</t>
    </r>
    <phoneticPr fontId="1" type="noConversion"/>
  </si>
  <si>
    <r>
      <t xml:space="preserve">히어로젬의 힘을 폭발시켜 모든 적을 공격한다. 기본 </t>
    </r>
    <r>
      <rPr>
        <sz val="11"/>
        <color rgb="FFFF0000"/>
        <rFont val="맑은 고딕"/>
        <family val="3"/>
        <charset val="129"/>
        <scheme val="minor"/>
      </rPr>
      <t>{UnitATK}*{WeaponSkillValue}</t>
    </r>
    <r>
      <rPr>
        <sz val="11"/>
        <rFont val="맑은 고딕"/>
        <family val="3"/>
        <charset val="129"/>
        <scheme val="minor"/>
      </rPr>
      <t xml:space="preserve"> 대미지</t>
    </r>
    <phoneticPr fontId="1" type="noConversion"/>
  </si>
  <si>
    <r>
      <t xml:space="preserve">히어로젬의 힘으로 아군 1명의 체력을 회복한다. </t>
    </r>
    <r>
      <rPr>
        <sz val="11"/>
        <color rgb="FFFF0000"/>
        <rFont val="맑은 고딕"/>
        <family val="3"/>
        <charset val="129"/>
        <scheme val="minor"/>
      </rPr>
      <t>사용한 히어로의{UnitMaxHP}*{WeaponSkillValue}</t>
    </r>
    <r>
      <rPr>
        <sz val="11"/>
        <rFont val="맑은 고딕"/>
        <family val="3"/>
        <charset val="129"/>
        <scheme val="minor"/>
      </rPr>
      <t xml:space="preserve"> 회복</t>
    </r>
    <phoneticPr fontId="1" type="noConversion"/>
  </si>
  <si>
    <r>
      <t xml:space="preserve">히어로젬의 힘으로 보호막을 생성한다. 사용한 히어로가 다음 자신의 차례 전까지 받는 대미지가 감소한다. 대미지 감소량 </t>
    </r>
    <r>
      <rPr>
        <sz val="11"/>
        <color rgb="FFFF0000"/>
        <rFont val="맑은 고딕"/>
        <family val="3"/>
        <charset val="129"/>
        <scheme val="minor"/>
      </rPr>
      <t>{WeaponSkillValue}</t>
    </r>
    <phoneticPr fontId="1" type="noConversion"/>
  </si>
  <si>
    <r>
      <t>히어로젬의 힘으로 모든 적의 방어력을 1턴 동안 감소시킨다. 받는 각 대상 방어력의</t>
    </r>
    <r>
      <rPr>
        <sz val="11"/>
        <color rgb="FFFF0000"/>
        <rFont val="맑은 고딕"/>
        <family val="3"/>
        <charset val="129"/>
        <scheme val="minor"/>
      </rPr>
      <t xml:space="preserve"> {WeaponSkillValue}</t>
    </r>
    <r>
      <rPr>
        <sz val="11"/>
        <rFont val="맑은 고딕"/>
        <family val="3"/>
        <charset val="129"/>
        <scheme val="minor"/>
      </rPr>
      <t>만큼 감소</t>
    </r>
    <phoneticPr fontId="1" type="noConversion"/>
  </si>
  <si>
    <r>
      <t xml:space="preserve">모든 아군의 체력을 회복한다. </t>
    </r>
    <r>
      <rPr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 xml:space="preserve"> 회복</t>
    </r>
    <phoneticPr fontId="1" type="noConversion"/>
  </si>
  <si>
    <t>상대 단일 유닛에게 {EnemySkill1Value} 대미지를 준다.</t>
    <phoneticPr fontId="1" type="noConversion"/>
  </si>
  <si>
    <t>상대 1열에 {EnemySkill2Value} 대미지를 준다.</t>
    <phoneticPr fontId="1" type="noConversion"/>
  </si>
  <si>
    <t>상대 전열 단일 유닛에게 {EnemySkill1Value} 대미지를 준다.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</si>
  <si>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</si>
  <si>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</si>
  <si>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FV20002</t>
  </si>
  <si>
    <t>FV20003</t>
  </si>
  <si>
    <t>FV20001</t>
    <phoneticPr fontId="5" type="noConversion"/>
  </si>
  <si>
    <t>FV20002</t>
    <phoneticPr fontId="5" type="noConversion"/>
  </si>
  <si>
    <t>FV20005</t>
  </si>
  <si>
    <t>메인 1-1 전투 (약탈꾼)</t>
    <phoneticPr fontId="1" type="noConversion"/>
  </si>
  <si>
    <t>메인 1-2 전투</t>
    <phoneticPr fontId="1" type="noConversion"/>
  </si>
  <si>
    <t>메인 2-1 전투</t>
    <phoneticPr fontId="1" type="noConversion"/>
  </si>
  <si>
    <t>메인 2-2 전투</t>
    <phoneticPr fontId="1" type="noConversion"/>
  </si>
  <si>
    <t>메인 2-3 전투</t>
    <phoneticPr fontId="1" type="noConversion"/>
  </si>
  <si>
    <t>A2FEP006</t>
    <phoneticPr fontId="5" type="noConversion"/>
  </si>
  <si>
    <t>메인 3-2(로니 전투 / 탈영 후 조우)</t>
  </si>
  <si>
    <t>A2FEP008</t>
    <phoneticPr fontId="5" type="noConversion"/>
  </si>
  <si>
    <t>메인 3-3(공돌이 경비 호출 / 경비 제압)</t>
  </si>
  <si>
    <t>FV20003</t>
    <phoneticPr fontId="5" type="noConversion"/>
  </si>
  <si>
    <t>A2FEP007</t>
    <phoneticPr fontId="5" type="noConversion"/>
  </si>
  <si>
    <t>메인 3-1(시위대 보호 / 시위대 후방 대기)</t>
  </si>
  <si>
    <t>A2FEP009</t>
    <phoneticPr fontId="5" type="noConversion"/>
  </si>
  <si>
    <t>메인 4-1(기본 / 전열·후열 온전)</t>
  </si>
  <si>
    <t>A2FEP010</t>
    <phoneticPr fontId="5" type="noConversion"/>
  </si>
  <si>
    <t>메인 4-2(기본 / 지휘관 부재·사기 저하 UMT)</t>
  </si>
  <si>
    <t>V1.1</t>
    <phoneticPr fontId="1" type="noConversion"/>
  </si>
  <si>
    <t>명칭 변경
아군, 적군 스테이터스
경험치 수정</t>
    <phoneticPr fontId="1" type="noConversion"/>
  </si>
  <si>
    <t>적군 그룹 수정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</si>
</sst>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80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9" fontId="0" fillId="0" borderId="0" xfId="0" applyNumberFormat="1" applyFont="1" applyFill="1">
      <alignment vertical="center"/>
    </xf>
    <xf numFmtId="178" fontId="0" fillId="0" borderId="0" xfId="0" applyNumberFormat="1" applyFont="1" applyFill="1">
      <alignment vertical="center"/>
    </xf>
    <xf numFmtId="0" fontId="0" fillId="0" borderId="1" xfId="1" applyFont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3" fillId="0" borderId="0" xfId="0" applyFont="1" applyFill="1">
      <alignment vertical="center"/>
    </xf>
    <xf numFmtId="0" fontId="0" fillId="0" borderId="0" xfId="0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4" fillId="2" borderId="0" xfId="0" applyFont="1" applyFill="1" applyBorder="1" applyAlignment="1">
      <alignment horizontal="left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NumberFormat="1" applyFont="1" applyFill="1" applyBorder="1" applyAlignment="1">
      <alignment horizontal="center" vertical="center"/>
    </xf>
    <xf numFmtId="0" fontId="0" fillId="0" borderId="0" xfId="0">
      <alignment vertical="center"/>
    </xf>
    <xf numFmtId="0" fontId="2" fillId="0" borderId="0" xfId="1">
      <alignment vertical="center"/>
    </xf>
    <xf numFmtId="9" fontId="0" fillId="2" borderId="0" xfId="0" applyNumberFormat="1" applyFont="1" applyFill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2" fillId="0" borderId="0" xfId="1" applyFont="1" applyFill="1">
      <alignment vertical="center"/>
    </xf>
    <xf numFmtId="0" fontId="0" fillId="2" borderId="0" xfId="0" applyFill="1" applyAlignment="1"/>
    <xf numFmtId="0" fontId="8" fillId="0" borderId="0" xfId="1" applyFont="1" applyFill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/>
  </sheetViews>
  <sheetFormatPr defaultRowHeight="17"/>
  <cols>
    <col min="2" max="2" width="9.5" bestFit="1" customWidth="1"/>
    <col min="3" max="3" width="122.83203125" customWidth="1"/>
  </cols>
  <sheetData>
    <row r="2" spans="1:4">
      <c r="C2" t="s">
        <v>271</v>
      </c>
    </row>
    <row r="3" spans="1:4">
      <c r="B3" s="28">
        <v>46196</v>
      </c>
      <c r="C3" t="s">
        <v>270</v>
      </c>
      <c r="D3" s="41" t="s">
        <v>467</v>
      </c>
    </row>
    <row r="4" spans="1:4" ht="323">
      <c r="B4" s="28">
        <v>46209</v>
      </c>
      <c r="C4" s="24" t="s">
        <v>416</v>
      </c>
      <c r="D4" s="41" t="s">
        <v>467</v>
      </c>
    </row>
    <row r="5" spans="1:4">
      <c r="B5" s="28">
        <v>46213</v>
      </c>
      <c r="C5" t="s">
        <v>454</v>
      </c>
      <c r="D5" s="41" t="s">
        <v>467</v>
      </c>
    </row>
    <row r="6" spans="1:4" ht="85">
      <c r="B6" s="28">
        <v>46218</v>
      </c>
      <c r="C6" s="24" t="s">
        <v>464</v>
      </c>
      <c r="D6" s="41" t="s">
        <v>467</v>
      </c>
    </row>
    <row r="7" spans="1:4">
      <c r="A7" t="s">
        <v>466</v>
      </c>
      <c r="B7" s="28">
        <v>46232</v>
      </c>
      <c r="C7" s="24" t="s">
        <v>465</v>
      </c>
      <c r="D7" t="s">
        <v>467</v>
      </c>
    </row>
    <row r="8" spans="1:4">
      <c r="A8" s="39" t="s">
        <v>469</v>
      </c>
      <c r="B8" s="28">
        <v>46234</v>
      </c>
      <c r="C8" s="24" t="s">
        <v>470</v>
      </c>
      <c r="D8" s="39" t="s">
        <v>467</v>
      </c>
    </row>
    <row r="9" spans="1:4" ht="34">
      <c r="A9" t="s">
        <v>474</v>
      </c>
      <c r="B9" s="28">
        <v>46241</v>
      </c>
      <c r="C9" s="24" t="s">
        <v>475</v>
      </c>
      <c r="D9" s="40" t="s">
        <v>467</v>
      </c>
    </row>
    <row r="10" spans="1:4">
      <c r="A10" t="s">
        <v>488</v>
      </c>
      <c r="B10" s="28">
        <v>46281</v>
      </c>
      <c r="C10" s="24" t="s">
        <v>489</v>
      </c>
      <c r="D10" s="41" t="s">
        <v>467</v>
      </c>
    </row>
    <row r="11" spans="1:4">
      <c r="A11" s="44" t="s">
        <v>509</v>
      </c>
      <c r="B11" s="28">
        <v>46288</v>
      </c>
      <c r="C11" s="24" t="s">
        <v>510</v>
      </c>
      <c r="D11" s="44" t="s">
        <v>467</v>
      </c>
    </row>
    <row r="12" spans="1:4">
      <c r="A12" s="52" t="s">
        <v>517</v>
      </c>
      <c r="B12" s="28">
        <v>46294</v>
      </c>
      <c r="C12" s="24" t="s">
        <v>519</v>
      </c>
      <c r="D12" t="s">
        <v>518</v>
      </c>
    </row>
    <row r="13" spans="1:4">
      <c r="A13" t="s">
        <v>520</v>
      </c>
      <c r="B13" s="28">
        <v>46295</v>
      </c>
      <c r="C13" s="24" t="s">
        <v>521</v>
      </c>
      <c r="D13" s="53" t="s">
        <v>467</v>
      </c>
    </row>
    <row r="14" spans="1:4" ht="34">
      <c r="A14" s="54" t="s">
        <v>525</v>
      </c>
      <c r="B14" s="28">
        <v>46297</v>
      </c>
      <c r="C14" s="24" t="s">
        <v>526</v>
      </c>
      <c r="D14" s="54" t="s">
        <v>467</v>
      </c>
    </row>
    <row r="15" spans="1:4">
      <c r="A15" s="57" t="s">
        <v>529</v>
      </c>
      <c r="B15" s="28">
        <v>46297</v>
      </c>
      <c r="C15" s="58" t="s">
        <v>527</v>
      </c>
      <c r="D15" s="57" t="s">
        <v>528</v>
      </c>
    </row>
    <row r="16" spans="1:4">
      <c r="B16" s="28" t="s">
        <v>531</v>
      </c>
    </row>
    <row r="17" spans="1:4" ht="51">
      <c r="A17" t="s">
        <v>530</v>
      </c>
      <c r="B17" s="28">
        <v>46308</v>
      </c>
      <c r="C17" s="58" t="s">
        <v>579</v>
      </c>
      <c r="D17" t="s">
        <v>532</v>
      </c>
    </row>
    <row r="18" spans="1:4">
      <c r="A18" s="63" t="s">
        <v>578</v>
      </c>
      <c r="B18" s="28">
        <v>46309</v>
      </c>
      <c r="C18" s="58" t="s">
        <v>580</v>
      </c>
      <c r="D18" s="63" t="s">
        <v>467</v>
      </c>
    </row>
    <row r="19" spans="1:4">
      <c r="B19" s="28"/>
    </row>
    <row r="20" spans="1:4">
      <c r="B20" s="28"/>
    </row>
    <row r="21" spans="1:4">
      <c r="B21" s="28"/>
    </row>
    <row r="22" spans="1:4">
      <c r="B22" s="2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>
      <c r="A1" s="11" t="s">
        <v>175</v>
      </c>
    </row>
    <row r="2" spans="1:17">
      <c r="B2" s="76" t="s">
        <v>211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  <row r="4" spans="1:17">
      <c r="A4" s="7" t="s">
        <v>176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177</v>
      </c>
      <c r="J4" s="7" t="s">
        <v>177</v>
      </c>
      <c r="K4" s="7" t="s">
        <v>177</v>
      </c>
      <c r="L4" s="7" t="s">
        <v>18</v>
      </c>
      <c r="M4" s="7" t="s">
        <v>453</v>
      </c>
      <c r="N4" s="7" t="s">
        <v>453</v>
      </c>
      <c r="O4" s="7" t="s">
        <v>18</v>
      </c>
      <c r="P4" s="7" t="s">
        <v>18</v>
      </c>
      <c r="Q4" s="7" t="s">
        <v>18</v>
      </c>
    </row>
    <row r="5" spans="1:17">
      <c r="A5" s="7" t="s">
        <v>178</v>
      </c>
      <c r="B5" s="13" t="s">
        <v>28</v>
      </c>
      <c r="C5" s="13" t="s">
        <v>174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132</v>
      </c>
      <c r="P5" s="15" t="s">
        <v>133</v>
      </c>
      <c r="Q5" s="15" t="s">
        <v>134</v>
      </c>
    </row>
    <row r="6" spans="1:17" ht="34">
      <c r="A6" s="7" t="s">
        <v>179</v>
      </c>
      <c r="B6" s="8">
        <v>10001</v>
      </c>
      <c r="C6" s="8" t="s">
        <v>247</v>
      </c>
      <c r="D6" s="8" t="s">
        <v>128</v>
      </c>
      <c r="E6" s="8" t="s">
        <v>248</v>
      </c>
      <c r="F6" s="59">
        <v>9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0</v>
      </c>
      <c r="M6" s="37" t="s">
        <v>448</v>
      </c>
      <c r="N6" s="13" t="s">
        <v>449</v>
      </c>
      <c r="O6" s="62">
        <v>6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249</v>
      </c>
      <c r="D7" s="8" t="s">
        <v>125</v>
      </c>
      <c r="E7" s="8" t="s">
        <v>250</v>
      </c>
      <c r="F7" s="59">
        <v>6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2</v>
      </c>
      <c r="M7" s="37" t="s">
        <v>450</v>
      </c>
      <c r="N7" s="13" t="s">
        <v>449</v>
      </c>
      <c r="O7" s="62">
        <v>6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251</v>
      </c>
      <c r="D8" s="8" t="s">
        <v>126</v>
      </c>
      <c r="E8" s="8" t="s">
        <v>252</v>
      </c>
      <c r="F8" s="59">
        <v>9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3</v>
      </c>
      <c r="M8" s="37" t="s">
        <v>451</v>
      </c>
      <c r="N8" s="13" t="s">
        <v>449</v>
      </c>
      <c r="O8" s="62">
        <v>3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253</v>
      </c>
      <c r="D9" s="8" t="s">
        <v>127</v>
      </c>
      <c r="E9" s="8" t="s">
        <v>254</v>
      </c>
      <c r="F9" s="59">
        <v>9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1</v>
      </c>
      <c r="M9" s="37" t="s">
        <v>452</v>
      </c>
      <c r="N9" s="13" t="s">
        <v>449</v>
      </c>
      <c r="O9" s="62">
        <v>6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180</v>
      </c>
      <c r="B11" s="1" t="s">
        <v>181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175</v>
      </c>
      <c r="B12" s="3" t="s">
        <v>182</v>
      </c>
      <c r="C12" s="4" t="s">
        <v>255</v>
      </c>
      <c r="D12" s="4" t="s">
        <v>183</v>
      </c>
      <c r="E12" s="5" t="s">
        <v>184</v>
      </c>
      <c r="F12" s="1" t="s">
        <v>99</v>
      </c>
      <c r="G12" s="1" t="s">
        <v>100</v>
      </c>
      <c r="H12" s="1" t="s">
        <v>101</v>
      </c>
      <c r="I12" s="1" t="s">
        <v>185</v>
      </c>
      <c r="J12" s="1" t="s">
        <v>187</v>
      </c>
      <c r="K12" s="1" t="s">
        <v>186</v>
      </c>
      <c r="L12" s="1" t="s">
        <v>188</v>
      </c>
      <c r="M12" s="6" t="s">
        <v>189</v>
      </c>
      <c r="N12" s="6" t="s">
        <v>190</v>
      </c>
      <c r="O12" s="1" t="s">
        <v>191</v>
      </c>
      <c r="P12" s="1" t="s">
        <v>192</v>
      </c>
      <c r="Q12" s="1" t="s">
        <v>193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topLeftCell="A4" zoomScale="130" zoomScaleNormal="130" workbookViewId="0">
      <selection activeCell="A4" sqref="A4"/>
    </sheetView>
  </sheetViews>
  <sheetFormatPr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>
      <c r="A1" s="11" t="s">
        <v>175</v>
      </c>
    </row>
    <row r="2" spans="1:14">
      <c r="B2" s="78" t="s">
        <v>211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>
      <c r="A4" s="11" t="s">
        <v>176</v>
      </c>
      <c r="B4" s="11" t="s">
        <v>18</v>
      </c>
      <c r="C4" s="11" t="s">
        <v>19</v>
      </c>
      <c r="D4" s="1" t="s">
        <v>18</v>
      </c>
      <c r="E4" s="11" t="s">
        <v>18</v>
      </c>
      <c r="F4" s="36" t="s">
        <v>19</v>
      </c>
      <c r="G4" s="31" t="s">
        <v>19</v>
      </c>
      <c r="H4" s="36" t="s">
        <v>19</v>
      </c>
      <c r="I4" s="36" t="s">
        <v>19</v>
      </c>
    </row>
    <row r="5" spans="1:14">
      <c r="A5" s="11" t="s">
        <v>178</v>
      </c>
      <c r="B5" s="11" t="s">
        <v>243</v>
      </c>
      <c r="C5" s="11" t="s">
        <v>244</v>
      </c>
      <c r="D5" s="1" t="s">
        <v>245</v>
      </c>
      <c r="E5" s="11" t="s">
        <v>246</v>
      </c>
      <c r="F5" s="36" t="s">
        <v>442</v>
      </c>
      <c r="G5" s="31" t="s">
        <v>443</v>
      </c>
      <c r="H5" s="36" t="s">
        <v>440</v>
      </c>
      <c r="I5" s="36" t="s">
        <v>441</v>
      </c>
    </row>
    <row r="6" spans="1:14">
      <c r="A6" s="11" t="s">
        <v>179</v>
      </c>
      <c r="B6" s="11">
        <v>1</v>
      </c>
      <c r="C6" s="11" t="s">
        <v>108</v>
      </c>
      <c r="D6" s="1">
        <v>0</v>
      </c>
      <c r="E6" s="1">
        <v>0</v>
      </c>
      <c r="F6" s="33" t="s">
        <v>309</v>
      </c>
      <c r="G6" s="1" t="s">
        <v>468</v>
      </c>
      <c r="H6" s="33" t="s">
        <v>359</v>
      </c>
      <c r="I6" s="33" t="s">
        <v>387</v>
      </c>
    </row>
    <row r="7" spans="1:14">
      <c r="B7" s="11">
        <v>2</v>
      </c>
      <c r="C7" s="11" t="s">
        <v>107</v>
      </c>
      <c r="D7" s="27">
        <v>20</v>
      </c>
      <c r="E7" s="1">
        <v>10</v>
      </c>
      <c r="F7" s="33" t="s">
        <v>311</v>
      </c>
      <c r="G7" s="1" t="s">
        <v>337</v>
      </c>
      <c r="H7" s="33" t="s">
        <v>361</v>
      </c>
      <c r="I7" s="33" t="s">
        <v>389</v>
      </c>
    </row>
    <row r="8" spans="1:14">
      <c r="B8" s="11">
        <v>3</v>
      </c>
      <c r="C8" s="11" t="s">
        <v>106</v>
      </c>
      <c r="D8" s="27">
        <v>80</v>
      </c>
      <c r="E8" s="1">
        <v>20</v>
      </c>
      <c r="F8" s="33" t="s">
        <v>313</v>
      </c>
      <c r="G8" s="1" t="s">
        <v>471</v>
      </c>
      <c r="H8" s="33" t="s">
        <v>363</v>
      </c>
      <c r="I8" s="33" t="s">
        <v>391</v>
      </c>
    </row>
    <row r="9" spans="1:14">
      <c r="B9" s="11">
        <v>4</v>
      </c>
      <c r="C9" s="11" t="s">
        <v>105</v>
      </c>
      <c r="D9" s="27">
        <v>160</v>
      </c>
      <c r="E9" s="1">
        <v>10</v>
      </c>
      <c r="F9" s="33" t="s">
        <v>314</v>
      </c>
      <c r="G9" s="1" t="s">
        <v>340</v>
      </c>
      <c r="H9" s="33" t="s">
        <v>365</v>
      </c>
      <c r="I9" s="33" t="s">
        <v>393</v>
      </c>
    </row>
    <row r="10" spans="1:14">
      <c r="B10" s="11">
        <v>5</v>
      </c>
      <c r="C10" s="11" t="s">
        <v>104</v>
      </c>
      <c r="D10" s="27">
        <v>260</v>
      </c>
      <c r="E10" s="1">
        <v>10</v>
      </c>
      <c r="F10" s="33" t="s">
        <v>315</v>
      </c>
      <c r="G10" s="1" t="s">
        <v>472</v>
      </c>
      <c r="H10" s="33" t="s">
        <v>367</v>
      </c>
      <c r="I10" s="33" t="s">
        <v>395</v>
      </c>
    </row>
    <row r="11" spans="1:14">
      <c r="B11" s="11">
        <v>6</v>
      </c>
      <c r="C11" s="11" t="s">
        <v>103</v>
      </c>
      <c r="D11" s="27">
        <v>370</v>
      </c>
      <c r="E11" s="1">
        <v>10</v>
      </c>
      <c r="F11" s="33" t="s">
        <v>317</v>
      </c>
      <c r="G11" s="1" t="s">
        <v>473</v>
      </c>
      <c r="H11" s="33" t="s">
        <v>369</v>
      </c>
      <c r="I11" s="33" t="s">
        <v>397</v>
      </c>
    </row>
    <row r="12" spans="1:14">
      <c r="B12" s="11">
        <v>7</v>
      </c>
      <c r="C12" s="11" t="s">
        <v>256</v>
      </c>
      <c r="D12" s="27">
        <v>500</v>
      </c>
      <c r="E12" s="1">
        <v>10</v>
      </c>
      <c r="F12" s="33" t="s">
        <v>319</v>
      </c>
      <c r="G12" s="1" t="s">
        <v>343</v>
      </c>
      <c r="H12" s="33" t="s">
        <v>371</v>
      </c>
      <c r="I12" s="33" t="s">
        <v>399</v>
      </c>
    </row>
    <row r="13" spans="1:14">
      <c r="B13" s="11">
        <v>8</v>
      </c>
      <c r="C13" s="11" t="s">
        <v>257</v>
      </c>
      <c r="D13" s="27">
        <v>750</v>
      </c>
      <c r="E13" s="1">
        <v>20</v>
      </c>
      <c r="F13" s="33" t="s">
        <v>321</v>
      </c>
      <c r="G13" s="1" t="s">
        <v>345</v>
      </c>
      <c r="H13" s="33" t="s">
        <v>373</v>
      </c>
      <c r="I13" s="33" t="s">
        <v>401</v>
      </c>
    </row>
    <row r="15" spans="1:14">
      <c r="A15" s="11" t="s">
        <v>180</v>
      </c>
    </row>
    <row r="16" spans="1:14" ht="34">
      <c r="A16" s="11" t="s">
        <v>175</v>
      </c>
      <c r="B16" s="11" t="s">
        <v>8</v>
      </c>
      <c r="C16" s="11" t="s">
        <v>242</v>
      </c>
      <c r="D16" s="11" t="s">
        <v>102</v>
      </c>
      <c r="E16" s="11" t="s">
        <v>124</v>
      </c>
      <c r="F16" s="24" t="s">
        <v>444</v>
      </c>
      <c r="G16" s="24" t="s">
        <v>445</v>
      </c>
      <c r="H16" s="24" t="s">
        <v>446</v>
      </c>
      <c r="I16" s="24" t="s">
        <v>447</v>
      </c>
    </row>
    <row r="18" spans="3:6">
      <c r="E18" s="53" t="s">
        <v>522</v>
      </c>
      <c r="F18" s="12"/>
    </row>
    <row r="19" spans="3:6">
      <c r="E19" s="11" t="s">
        <v>524</v>
      </c>
      <c r="F19" s="12"/>
    </row>
    <row r="20" spans="3:6">
      <c r="E20" s="11" t="s">
        <v>523</v>
      </c>
      <c r="F20" s="12"/>
    </row>
    <row r="21" spans="3:6">
      <c r="F21" s="12"/>
    </row>
    <row r="22" spans="3:6">
      <c r="D22" s="56"/>
      <c r="F22" s="12"/>
    </row>
    <row r="23" spans="3:6">
      <c r="D23" s="56"/>
      <c r="F23" s="12"/>
    </row>
    <row r="24" spans="3:6">
      <c r="D24" s="56"/>
      <c r="F24" s="12"/>
    </row>
    <row r="25" spans="3:6">
      <c r="C25" s="19"/>
      <c r="D25" s="56"/>
      <c r="F25" s="12"/>
    </row>
    <row r="26" spans="3:6">
      <c r="C26" s="12"/>
      <c r="D26" s="56"/>
      <c r="F26" s="12"/>
    </row>
    <row r="27" spans="3:6">
      <c r="C27" s="12"/>
      <c r="D27" s="56"/>
      <c r="F27" s="12"/>
    </row>
    <row r="28" spans="3:6">
      <c r="C28" s="12"/>
      <c r="D28" s="56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20"/>
  <sheetViews>
    <sheetView zoomScale="55" zoomScaleNormal="55" workbookViewId="0"/>
  </sheetViews>
  <sheetFormatPr defaultColWidth="9" defaultRowHeight="17"/>
  <cols>
    <col min="1" max="1" width="10.5" style="29" bestFit="1" customWidth="1"/>
    <col min="2" max="3" width="15.58203125" style="29" customWidth="1"/>
    <col min="4" max="4" width="25.4140625" style="29" customWidth="1"/>
    <col min="5" max="5" width="14.08203125" style="29" bestFit="1" customWidth="1"/>
    <col min="6" max="12" width="15.58203125" style="29" customWidth="1"/>
    <col min="13" max="13" width="50.75" style="29" customWidth="1"/>
    <col min="14" max="14" width="36.33203125" style="29" bestFit="1" customWidth="1"/>
    <col min="15" max="15" width="25" style="29" customWidth="1"/>
    <col min="16" max="16" width="24.58203125" style="29" customWidth="1"/>
    <col min="17" max="17" width="36.33203125" style="29" bestFit="1" customWidth="1"/>
    <col min="18" max="18" width="39.33203125" style="29" bestFit="1" customWidth="1"/>
    <col min="19" max="19" width="61.75" style="29" bestFit="1" customWidth="1"/>
    <col min="20" max="20" width="46.08203125" style="29" bestFit="1" customWidth="1"/>
    <col min="21" max="21" width="15.58203125" style="29" customWidth="1"/>
    <col min="22" max="22" width="19.1640625" style="29" bestFit="1" customWidth="1"/>
    <col min="23" max="23" width="15.58203125" style="29" customWidth="1"/>
    <col min="24" max="24" width="41.58203125" style="29" customWidth="1"/>
    <col min="25" max="32" width="15.58203125" style="29" customWidth="1"/>
    <col min="33" max="33" width="19.1640625" style="29" bestFit="1" customWidth="1"/>
    <col min="34" max="34" width="70.25" style="29" customWidth="1"/>
    <col min="35" max="35" width="15.58203125" style="29" customWidth="1"/>
    <col min="36" max="36" width="25.1640625" style="29" bestFit="1" customWidth="1"/>
    <col min="37" max="37" width="17.58203125" style="29" bestFit="1" customWidth="1"/>
    <col min="38" max="65" width="15.58203125" style="29" customWidth="1"/>
    <col min="66" max="16384" width="9" style="29"/>
  </cols>
  <sheetData>
    <row r="1" spans="1:39">
      <c r="A1" s="29" t="s">
        <v>175</v>
      </c>
    </row>
    <row r="2" spans="1:39">
      <c r="B2" s="78" t="s">
        <v>215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</row>
    <row r="4" spans="1:39">
      <c r="A4" s="29" t="s">
        <v>176</v>
      </c>
      <c r="B4" s="29" t="s">
        <v>19</v>
      </c>
      <c r="C4" s="29" t="s">
        <v>19</v>
      </c>
      <c r="D4" s="29" t="s">
        <v>19</v>
      </c>
      <c r="E4" s="29" t="s">
        <v>18</v>
      </c>
      <c r="F4" s="29" t="s">
        <v>18</v>
      </c>
      <c r="G4" s="29" t="s">
        <v>18</v>
      </c>
      <c r="H4" s="29" t="s">
        <v>177</v>
      </c>
      <c r="I4" s="29" t="s">
        <v>177</v>
      </c>
      <c r="J4" s="1" t="s">
        <v>177</v>
      </c>
      <c r="K4" s="1" t="s">
        <v>18</v>
      </c>
      <c r="L4" s="1" t="s">
        <v>19</v>
      </c>
      <c r="M4" s="1" t="s">
        <v>19</v>
      </c>
      <c r="N4" s="13" t="s">
        <v>18</v>
      </c>
      <c r="O4" s="13" t="s">
        <v>18</v>
      </c>
      <c r="P4" s="13" t="s">
        <v>18</v>
      </c>
      <c r="Q4" s="13" t="s">
        <v>18</v>
      </c>
      <c r="R4" s="13" t="s">
        <v>22</v>
      </c>
      <c r="S4" s="13" t="s">
        <v>18</v>
      </c>
      <c r="T4" s="13" t="s">
        <v>18</v>
      </c>
      <c r="U4" s="13" t="s">
        <v>177</v>
      </c>
      <c r="V4" s="13" t="s">
        <v>177</v>
      </c>
      <c r="W4" s="1" t="s">
        <v>19</v>
      </c>
      <c r="X4" s="1" t="s">
        <v>19</v>
      </c>
      <c r="Y4" s="13" t="s">
        <v>18</v>
      </c>
      <c r="Z4" s="13" t="s">
        <v>18</v>
      </c>
      <c r="AA4" s="13" t="s">
        <v>18</v>
      </c>
      <c r="AB4" s="13" t="s">
        <v>18</v>
      </c>
      <c r="AC4" s="13" t="s">
        <v>22</v>
      </c>
      <c r="AD4" s="13" t="s">
        <v>18</v>
      </c>
      <c r="AE4" s="13" t="s">
        <v>18</v>
      </c>
      <c r="AF4" s="13" t="s">
        <v>177</v>
      </c>
      <c r="AG4" s="13" t="s">
        <v>177</v>
      </c>
      <c r="AH4" s="13" t="s">
        <v>19</v>
      </c>
      <c r="AI4" s="13" t="s">
        <v>18</v>
      </c>
      <c r="AJ4" s="13" t="s">
        <v>18</v>
      </c>
      <c r="AK4" s="13" t="s">
        <v>18</v>
      </c>
      <c r="AL4" s="13" t="s">
        <v>18</v>
      </c>
      <c r="AM4" s="13" t="s">
        <v>18</v>
      </c>
    </row>
    <row r="5" spans="1:39">
      <c r="A5" s="29" t="s">
        <v>178</v>
      </c>
      <c r="B5" s="29" t="s">
        <v>20</v>
      </c>
      <c r="C5" s="29" t="s">
        <v>25</v>
      </c>
      <c r="D5" s="29" t="s">
        <v>38</v>
      </c>
      <c r="E5" s="29" t="s">
        <v>112</v>
      </c>
      <c r="F5" s="29" t="s">
        <v>111</v>
      </c>
      <c r="G5" s="29" t="s">
        <v>110</v>
      </c>
      <c r="H5" s="29" t="s">
        <v>1</v>
      </c>
      <c r="I5" s="29" t="s">
        <v>4</v>
      </c>
      <c r="J5" s="1" t="s">
        <v>36</v>
      </c>
      <c r="K5" s="1" t="s">
        <v>2</v>
      </c>
      <c r="L5" s="1" t="s">
        <v>39</v>
      </c>
      <c r="M5" s="1" t="s">
        <v>40</v>
      </c>
      <c r="N5" s="1" t="s">
        <v>64</v>
      </c>
      <c r="O5" s="1" t="s">
        <v>65</v>
      </c>
      <c r="P5" s="1" t="s">
        <v>120</v>
      </c>
      <c r="Q5" s="1" t="s">
        <v>66</v>
      </c>
      <c r="R5" s="1" t="s">
        <v>87</v>
      </c>
      <c r="S5" s="1" t="s">
        <v>88</v>
      </c>
      <c r="T5" s="1" t="s">
        <v>89</v>
      </c>
      <c r="U5" s="1" t="s">
        <v>67</v>
      </c>
      <c r="V5" s="1" t="s">
        <v>438</v>
      </c>
      <c r="W5" s="1" t="s">
        <v>43</v>
      </c>
      <c r="X5" s="1" t="s">
        <v>44</v>
      </c>
      <c r="Y5" s="1" t="s">
        <v>68</v>
      </c>
      <c r="Z5" s="1" t="s">
        <v>69</v>
      </c>
      <c r="AA5" s="1" t="s">
        <v>121</v>
      </c>
      <c r="AB5" s="1" t="s">
        <v>70</v>
      </c>
      <c r="AC5" s="1" t="s">
        <v>90</v>
      </c>
      <c r="AD5" s="1" t="s">
        <v>91</v>
      </c>
      <c r="AE5" s="1" t="s">
        <v>92</v>
      </c>
      <c r="AF5" s="1" t="s">
        <v>71</v>
      </c>
      <c r="AG5" s="1" t="s">
        <v>437</v>
      </c>
      <c r="AH5" s="1" t="s">
        <v>23</v>
      </c>
      <c r="AI5" s="1" t="s">
        <v>74</v>
      </c>
      <c r="AJ5" s="1" t="s">
        <v>429</v>
      </c>
      <c r="AK5" s="1" t="s">
        <v>132</v>
      </c>
      <c r="AL5" s="1" t="s">
        <v>430</v>
      </c>
      <c r="AM5" s="1" t="s">
        <v>431</v>
      </c>
    </row>
    <row r="6" spans="1:39" s="1" customFormat="1" ht="51">
      <c r="A6" s="1" t="s">
        <v>179</v>
      </c>
      <c r="B6" s="66" t="s">
        <v>417</v>
      </c>
      <c r="C6" s="66" t="s">
        <v>490</v>
      </c>
      <c r="D6" s="66" t="s">
        <v>424</v>
      </c>
      <c r="E6" s="67">
        <v>6</v>
      </c>
      <c r="F6" s="67">
        <v>5</v>
      </c>
      <c r="G6" s="66">
        <v>5</v>
      </c>
      <c r="H6" s="68">
        <v>0.10000000149011599</v>
      </c>
      <c r="I6" s="68">
        <v>0.10000000149011599</v>
      </c>
      <c r="J6" s="68">
        <v>0.10000000149011599</v>
      </c>
      <c r="K6" s="66">
        <v>2</v>
      </c>
      <c r="L6" s="66" t="s">
        <v>476</v>
      </c>
      <c r="M6" s="69" t="s">
        <v>552</v>
      </c>
      <c r="N6" s="66">
        <v>0</v>
      </c>
      <c r="O6" s="66">
        <v>2</v>
      </c>
      <c r="P6" s="66">
        <v>1</v>
      </c>
      <c r="Q6" s="66">
        <v>0</v>
      </c>
      <c r="R6" s="66"/>
      <c r="S6" s="66"/>
      <c r="T6" s="66"/>
      <c r="U6" s="68">
        <v>1</v>
      </c>
      <c r="V6" s="68">
        <v>0</v>
      </c>
      <c r="W6" s="66"/>
      <c r="X6" s="69"/>
      <c r="Y6" s="66"/>
      <c r="Z6" s="66"/>
      <c r="AA6" s="66"/>
      <c r="AB6" s="66"/>
      <c r="AC6" s="66"/>
      <c r="AD6" s="66"/>
      <c r="AE6" s="66"/>
      <c r="AF6" s="68"/>
      <c r="AG6" s="68"/>
      <c r="AH6" s="3" t="s">
        <v>477</v>
      </c>
      <c r="AI6" s="43">
        <v>15</v>
      </c>
      <c r="AJ6" s="43">
        <v>5</v>
      </c>
      <c r="AK6" s="43">
        <v>1</v>
      </c>
      <c r="AL6" s="43">
        <v>4</v>
      </c>
      <c r="AM6" s="43">
        <v>1</v>
      </c>
    </row>
    <row r="7" spans="1:39" s="1" customFormat="1" ht="102">
      <c r="B7" s="66" t="s">
        <v>418</v>
      </c>
      <c r="C7" s="66" t="s">
        <v>421</v>
      </c>
      <c r="D7" s="66" t="s">
        <v>459</v>
      </c>
      <c r="E7" s="67">
        <v>10</v>
      </c>
      <c r="F7" s="66">
        <v>6</v>
      </c>
      <c r="G7" s="66">
        <v>6</v>
      </c>
      <c r="H7" s="68">
        <v>0.10000000149011599</v>
      </c>
      <c r="I7" s="68">
        <v>0.10000000149011599</v>
      </c>
      <c r="J7" s="68">
        <v>0.25</v>
      </c>
      <c r="K7" s="66">
        <v>3</v>
      </c>
      <c r="L7" s="66" t="s">
        <v>432</v>
      </c>
      <c r="M7" s="69" t="s">
        <v>552</v>
      </c>
      <c r="N7" s="66">
        <v>0</v>
      </c>
      <c r="O7" s="66">
        <v>1</v>
      </c>
      <c r="P7" s="66">
        <v>1</v>
      </c>
      <c r="Q7" s="66">
        <v>0</v>
      </c>
      <c r="R7" s="66"/>
      <c r="S7" s="66">
        <v>0</v>
      </c>
      <c r="T7" s="66">
        <v>0</v>
      </c>
      <c r="U7" s="68">
        <v>1</v>
      </c>
      <c r="V7" s="68">
        <v>0</v>
      </c>
      <c r="W7" s="66" t="s">
        <v>478</v>
      </c>
      <c r="X7" s="69" t="s">
        <v>553</v>
      </c>
      <c r="Y7" s="66">
        <v>0</v>
      </c>
      <c r="Z7" s="66">
        <v>1</v>
      </c>
      <c r="AA7" s="66">
        <v>1</v>
      </c>
      <c r="AB7" s="66">
        <v>1</v>
      </c>
      <c r="AC7" s="66" t="s">
        <v>480</v>
      </c>
      <c r="AD7" s="66">
        <v>0</v>
      </c>
      <c r="AE7" s="66"/>
      <c r="AF7" s="68">
        <v>0.6</v>
      </c>
      <c r="AG7" s="68">
        <v>0</v>
      </c>
      <c r="AH7" s="3" t="s">
        <v>439</v>
      </c>
      <c r="AI7" s="43">
        <v>30</v>
      </c>
      <c r="AJ7" s="43">
        <v>10</v>
      </c>
      <c r="AK7" s="43">
        <v>3</v>
      </c>
      <c r="AL7" s="43">
        <v>4</v>
      </c>
      <c r="AM7" s="43">
        <v>1</v>
      </c>
    </row>
    <row r="8" spans="1:39" s="1" customFormat="1" ht="68">
      <c r="B8" s="66" t="s">
        <v>419</v>
      </c>
      <c r="C8" s="66" t="s">
        <v>422</v>
      </c>
      <c r="D8" s="66" t="s">
        <v>425</v>
      </c>
      <c r="E8" s="67">
        <v>7</v>
      </c>
      <c r="F8" s="66">
        <v>6</v>
      </c>
      <c r="G8" s="66">
        <v>8</v>
      </c>
      <c r="H8" s="68">
        <v>0.10000000149011599</v>
      </c>
      <c r="I8" s="68">
        <v>0.25</v>
      </c>
      <c r="J8" s="68">
        <v>0.10000000149011599</v>
      </c>
      <c r="K8" s="66">
        <v>0</v>
      </c>
      <c r="L8" s="66" t="s">
        <v>435</v>
      </c>
      <c r="M8" s="69" t="s">
        <v>554</v>
      </c>
      <c r="N8" s="66">
        <v>0</v>
      </c>
      <c r="O8" s="66">
        <v>0</v>
      </c>
      <c r="P8" s="66">
        <v>0</v>
      </c>
      <c r="Q8" s="66">
        <v>0</v>
      </c>
      <c r="R8" s="66"/>
      <c r="S8" s="66">
        <v>0</v>
      </c>
      <c r="T8" s="66">
        <v>0</v>
      </c>
      <c r="U8" s="68">
        <v>0.80000001192092896</v>
      </c>
      <c r="V8" s="68">
        <v>0</v>
      </c>
      <c r="W8" s="66" t="s">
        <v>433</v>
      </c>
      <c r="X8" s="69" t="s">
        <v>492</v>
      </c>
      <c r="Y8" s="66">
        <v>0</v>
      </c>
      <c r="Z8" s="66">
        <v>0</v>
      </c>
      <c r="AA8" s="66">
        <v>0</v>
      </c>
      <c r="AB8" s="66">
        <v>0</v>
      </c>
      <c r="AC8" s="66"/>
      <c r="AD8" s="66">
        <v>0</v>
      </c>
      <c r="AE8" s="66">
        <v>0</v>
      </c>
      <c r="AF8" s="68">
        <v>0</v>
      </c>
      <c r="AG8" s="68">
        <v>0</v>
      </c>
      <c r="AH8" s="3" t="s">
        <v>481</v>
      </c>
      <c r="AI8" s="43">
        <v>30</v>
      </c>
      <c r="AJ8" s="43">
        <v>10</v>
      </c>
      <c r="AK8" s="43">
        <v>2</v>
      </c>
      <c r="AL8" s="43">
        <v>3</v>
      </c>
      <c r="AM8" s="43">
        <v>3</v>
      </c>
    </row>
    <row r="9" spans="1:39" s="46" customFormat="1" ht="85">
      <c r="B9" s="70" t="s">
        <v>420</v>
      </c>
      <c r="C9" s="70" t="s">
        <v>423</v>
      </c>
      <c r="D9" s="70" t="s">
        <v>426</v>
      </c>
      <c r="E9" s="67">
        <v>7</v>
      </c>
      <c r="F9" s="70">
        <v>12</v>
      </c>
      <c r="G9" s="70">
        <v>6</v>
      </c>
      <c r="H9" s="71">
        <v>0.20000000298023199</v>
      </c>
      <c r="I9" s="71">
        <v>0.15000000596046401</v>
      </c>
      <c r="J9" s="71">
        <v>0.15000000596046401</v>
      </c>
      <c r="K9" s="70">
        <v>2</v>
      </c>
      <c r="L9" s="70" t="s">
        <v>434</v>
      </c>
      <c r="M9" s="72" t="s">
        <v>555</v>
      </c>
      <c r="N9" s="70">
        <v>0</v>
      </c>
      <c r="O9" s="70">
        <v>1</v>
      </c>
      <c r="P9" s="70">
        <v>1</v>
      </c>
      <c r="Q9" s="70">
        <v>1</v>
      </c>
      <c r="R9" s="70" t="s">
        <v>482</v>
      </c>
      <c r="S9" s="70">
        <v>0</v>
      </c>
      <c r="T9" s="70">
        <v>0</v>
      </c>
      <c r="U9" s="71">
        <v>1.20000004768372</v>
      </c>
      <c r="V9" s="71">
        <v>1</v>
      </c>
      <c r="W9" s="70" t="s">
        <v>455</v>
      </c>
      <c r="X9" s="72" t="s">
        <v>455</v>
      </c>
      <c r="Y9" s="70">
        <v>0</v>
      </c>
      <c r="Z9" s="70">
        <v>0</v>
      </c>
      <c r="AA9" s="70">
        <v>0</v>
      </c>
      <c r="AB9" s="70">
        <v>0</v>
      </c>
      <c r="AC9" s="70"/>
      <c r="AD9" s="70">
        <v>0</v>
      </c>
      <c r="AE9" s="70">
        <v>0</v>
      </c>
      <c r="AF9" s="71">
        <v>0</v>
      </c>
      <c r="AG9" s="71">
        <v>0</v>
      </c>
      <c r="AH9" s="47" t="s">
        <v>483</v>
      </c>
      <c r="AI9" s="48">
        <v>60</v>
      </c>
      <c r="AJ9" s="48">
        <v>20</v>
      </c>
      <c r="AK9" s="48">
        <v>3</v>
      </c>
      <c r="AL9" s="48">
        <v>4</v>
      </c>
      <c r="AM9" s="48">
        <v>3</v>
      </c>
    </row>
    <row r="10" spans="1:39" s="1" customFormat="1" ht="102">
      <c r="B10" s="66" t="s">
        <v>457</v>
      </c>
      <c r="C10" s="66" t="s">
        <v>458</v>
      </c>
      <c r="D10" s="66" t="s">
        <v>427</v>
      </c>
      <c r="E10" s="66">
        <v>100</v>
      </c>
      <c r="F10" s="66">
        <v>6</v>
      </c>
      <c r="G10" s="66">
        <v>6</v>
      </c>
      <c r="H10" s="68">
        <v>0.25</v>
      </c>
      <c r="I10" s="68">
        <v>0.20000000298023199</v>
      </c>
      <c r="J10" s="68">
        <v>0.20000000298023199</v>
      </c>
      <c r="K10" s="66">
        <v>1</v>
      </c>
      <c r="L10" s="66" t="s">
        <v>484</v>
      </c>
      <c r="M10" s="69" t="s">
        <v>552</v>
      </c>
      <c r="N10" s="66">
        <v>0</v>
      </c>
      <c r="O10" s="66">
        <v>1</v>
      </c>
      <c r="P10" s="66">
        <v>1</v>
      </c>
      <c r="Q10" s="66">
        <v>0</v>
      </c>
      <c r="R10" s="66"/>
      <c r="S10" s="66">
        <v>0</v>
      </c>
      <c r="T10" s="66">
        <v>0</v>
      </c>
      <c r="U10" s="68">
        <v>1</v>
      </c>
      <c r="V10" s="68">
        <v>0</v>
      </c>
      <c r="W10" s="66" t="s">
        <v>485</v>
      </c>
      <c r="X10" s="69" t="s">
        <v>556</v>
      </c>
      <c r="Y10" s="66">
        <v>0</v>
      </c>
      <c r="Z10" s="66">
        <v>0</v>
      </c>
      <c r="AA10" s="66">
        <v>0</v>
      </c>
      <c r="AB10" s="66">
        <v>1</v>
      </c>
      <c r="AC10" s="66" t="s">
        <v>486</v>
      </c>
      <c r="AD10" s="66">
        <v>1</v>
      </c>
      <c r="AE10" s="66">
        <v>1</v>
      </c>
      <c r="AF10" s="68">
        <v>1</v>
      </c>
      <c r="AG10" s="68">
        <v>0.8</v>
      </c>
      <c r="AH10" s="3" t="s">
        <v>487</v>
      </c>
      <c r="AI10" s="43">
        <v>80</v>
      </c>
      <c r="AJ10" s="43">
        <v>0</v>
      </c>
      <c r="AK10" s="43">
        <v>10</v>
      </c>
      <c r="AL10" s="43">
        <v>5</v>
      </c>
      <c r="AM10" s="43">
        <v>3</v>
      </c>
    </row>
    <row r="11" spans="1:39">
      <c r="AI11" s="35"/>
    </row>
    <row r="12" spans="1:39" ht="136">
      <c r="A12" s="29" t="s">
        <v>180</v>
      </c>
      <c r="B12" s="29" t="s">
        <v>37</v>
      </c>
      <c r="C12" s="29" t="s">
        <v>24</v>
      </c>
      <c r="D12" s="29" t="s">
        <v>216</v>
      </c>
      <c r="E12" s="29" t="s">
        <v>109</v>
      </c>
      <c r="F12" s="29" t="s">
        <v>100</v>
      </c>
      <c r="G12" s="29" t="s">
        <v>101</v>
      </c>
      <c r="H12" s="29" t="s">
        <v>7</v>
      </c>
      <c r="I12" s="29" t="s">
        <v>6</v>
      </c>
      <c r="J12" s="29" t="s">
        <v>5</v>
      </c>
      <c r="K12" s="29" t="s">
        <v>3</v>
      </c>
      <c r="L12" s="29" t="s">
        <v>46</v>
      </c>
      <c r="M12" s="29" t="s">
        <v>41</v>
      </c>
      <c r="N12" s="24" t="s">
        <v>436</v>
      </c>
      <c r="O12" s="24" t="s">
        <v>59</v>
      </c>
      <c r="P12" s="24" t="s">
        <v>123</v>
      </c>
      <c r="Q12" s="29" t="s">
        <v>60</v>
      </c>
      <c r="R12" s="29" t="s">
        <v>93</v>
      </c>
      <c r="S12" s="29" t="s">
        <v>94</v>
      </c>
      <c r="T12" s="29" t="s">
        <v>95</v>
      </c>
      <c r="U12" s="29" t="s">
        <v>63</v>
      </c>
      <c r="V12" s="29" t="s">
        <v>63</v>
      </c>
      <c r="W12" s="29" t="s">
        <v>47</v>
      </c>
      <c r="X12" s="29" t="s">
        <v>42</v>
      </c>
      <c r="Y12" s="24" t="s">
        <v>479</v>
      </c>
      <c r="Z12" s="24" t="s">
        <v>115</v>
      </c>
      <c r="AA12" s="24" t="s">
        <v>122</v>
      </c>
      <c r="AB12" s="24" t="s">
        <v>61</v>
      </c>
      <c r="AC12" s="24" t="s">
        <v>96</v>
      </c>
      <c r="AD12" s="24" t="s">
        <v>97</v>
      </c>
      <c r="AE12" s="24" t="s">
        <v>98</v>
      </c>
      <c r="AF12" s="29" t="s">
        <v>62</v>
      </c>
      <c r="AG12" s="29" t="s">
        <v>62</v>
      </c>
      <c r="AH12" s="29" t="s">
        <v>45</v>
      </c>
      <c r="AI12" s="29" t="s">
        <v>73</v>
      </c>
      <c r="AJ12" s="29" t="s">
        <v>428</v>
      </c>
      <c r="AK12" s="29" t="s">
        <v>279</v>
      </c>
      <c r="AL12" s="29" t="s">
        <v>280</v>
      </c>
      <c r="AM12" s="29" t="s">
        <v>281</v>
      </c>
    </row>
    <row r="13" spans="1:39">
      <c r="A13" s="29" t="s">
        <v>175</v>
      </c>
    </row>
    <row r="18" spans="5:5">
      <c r="E18" s="56"/>
    </row>
    <row r="19" spans="5:5">
      <c r="E19" s="56"/>
    </row>
    <row r="20" spans="5:5">
      <c r="E20" s="56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0"/>
  <sheetViews>
    <sheetView zoomScale="115" zoomScaleNormal="115" workbookViewId="0"/>
  </sheetViews>
  <sheetFormatPr defaultColWidth="9" defaultRowHeight="17"/>
  <cols>
    <col min="1" max="1" width="10.5" style="18" bestFit="1" customWidth="1"/>
    <col min="2" max="2" width="15.58203125" style="18" customWidth="1"/>
    <col min="3" max="3" width="40.08203125" style="30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30" bestFit="1" customWidth="1"/>
    <col min="15" max="15" width="10.6640625" style="30" bestFit="1" customWidth="1"/>
    <col min="16" max="38" width="15.58203125" style="18" customWidth="1"/>
    <col min="39" max="16384" width="9" style="18"/>
  </cols>
  <sheetData>
    <row r="1" spans="1:17">
      <c r="A1" s="18" t="s">
        <v>175</v>
      </c>
    </row>
    <row r="2" spans="1:17">
      <c r="B2" s="79" t="s">
        <v>258</v>
      </c>
      <c r="C2" s="79"/>
      <c r="D2" s="79"/>
    </row>
    <row r="4" spans="1:17">
      <c r="A4" s="18" t="s">
        <v>176</v>
      </c>
      <c r="B4" s="31" t="s">
        <v>19</v>
      </c>
      <c r="C4" s="31" t="s">
        <v>19</v>
      </c>
      <c r="D4" s="31" t="s">
        <v>19</v>
      </c>
      <c r="E4" s="32" t="s">
        <v>18</v>
      </c>
      <c r="F4" s="31" t="s">
        <v>19</v>
      </c>
      <c r="G4" s="32" t="s">
        <v>18</v>
      </c>
      <c r="H4" s="31" t="s">
        <v>19</v>
      </c>
      <c r="I4" s="32" t="s">
        <v>18</v>
      </c>
      <c r="J4" s="31" t="s">
        <v>19</v>
      </c>
      <c r="K4" s="32" t="s">
        <v>18</v>
      </c>
      <c r="L4" s="31" t="s">
        <v>19</v>
      </c>
      <c r="M4" s="32" t="s">
        <v>18</v>
      </c>
      <c r="N4" s="31" t="s">
        <v>19</v>
      </c>
      <c r="O4" s="32" t="s">
        <v>18</v>
      </c>
      <c r="P4" s="31" t="s">
        <v>18</v>
      </c>
      <c r="Q4" s="31" t="s">
        <v>18</v>
      </c>
    </row>
    <row r="5" spans="1:17">
      <c r="A5" s="18" t="s">
        <v>178</v>
      </c>
      <c r="B5" s="32" t="s">
        <v>20</v>
      </c>
      <c r="C5" s="32" t="s">
        <v>272</v>
      </c>
      <c r="D5" s="31" t="s">
        <v>259</v>
      </c>
      <c r="E5" s="32" t="s">
        <v>260</v>
      </c>
      <c r="F5" s="32" t="s">
        <v>261</v>
      </c>
      <c r="G5" s="32" t="s">
        <v>262</v>
      </c>
      <c r="H5" s="32" t="s">
        <v>263</v>
      </c>
      <c r="I5" s="32" t="s">
        <v>264</v>
      </c>
      <c r="J5" s="32" t="s">
        <v>265</v>
      </c>
      <c r="K5" s="32" t="s">
        <v>266</v>
      </c>
      <c r="L5" s="32" t="s">
        <v>267</v>
      </c>
      <c r="M5" s="32" t="s">
        <v>268</v>
      </c>
      <c r="N5" s="31" t="s">
        <v>456</v>
      </c>
      <c r="O5" s="31" t="s">
        <v>460</v>
      </c>
      <c r="P5" s="31" t="s">
        <v>273</v>
      </c>
      <c r="Q5" s="31" t="s">
        <v>274</v>
      </c>
    </row>
    <row r="6" spans="1:17">
      <c r="A6" s="18" t="s">
        <v>179</v>
      </c>
      <c r="B6" s="31" t="s">
        <v>512</v>
      </c>
      <c r="C6" s="31" t="s">
        <v>514</v>
      </c>
      <c r="D6" s="31" t="s">
        <v>461</v>
      </c>
      <c r="E6" s="32">
        <v>1</v>
      </c>
      <c r="F6" s="31" t="s">
        <v>461</v>
      </c>
      <c r="G6" s="32">
        <v>3</v>
      </c>
      <c r="H6" s="31" t="s">
        <v>461</v>
      </c>
      <c r="I6" s="32">
        <v>5</v>
      </c>
      <c r="J6" s="31"/>
      <c r="K6" s="32"/>
      <c r="L6" s="32"/>
      <c r="M6" s="32"/>
      <c r="N6" s="32"/>
      <c r="O6" s="32"/>
      <c r="P6" s="32">
        <v>1</v>
      </c>
      <c r="Q6" s="32">
        <v>1</v>
      </c>
    </row>
    <row r="7" spans="1:17">
      <c r="B7" s="31" t="s">
        <v>511</v>
      </c>
      <c r="C7" s="31" t="s">
        <v>513</v>
      </c>
      <c r="D7" s="31" t="s">
        <v>557</v>
      </c>
      <c r="E7" s="32">
        <v>4</v>
      </c>
      <c r="F7" s="31" t="s">
        <v>557</v>
      </c>
      <c r="G7" s="32">
        <v>5</v>
      </c>
      <c r="H7" s="31" t="s">
        <v>558</v>
      </c>
      <c r="I7" s="32">
        <v>2</v>
      </c>
      <c r="J7" s="31"/>
      <c r="K7" s="32"/>
      <c r="L7" s="32"/>
      <c r="M7" s="32"/>
      <c r="N7" s="32"/>
      <c r="O7" s="32"/>
      <c r="P7" s="32">
        <v>1</v>
      </c>
      <c r="Q7" s="32">
        <v>1</v>
      </c>
    </row>
    <row r="8" spans="1:17" s="30" customFormat="1">
      <c r="B8" s="31" t="s">
        <v>494</v>
      </c>
      <c r="C8" s="31" t="s">
        <v>562</v>
      </c>
      <c r="D8" s="31" t="s">
        <v>559</v>
      </c>
      <c r="E8" s="32">
        <v>1</v>
      </c>
      <c r="F8" s="31" t="s">
        <v>461</v>
      </c>
      <c r="G8" s="32">
        <v>3</v>
      </c>
      <c r="H8" s="31" t="s">
        <v>560</v>
      </c>
      <c r="I8" s="32">
        <v>4</v>
      </c>
      <c r="J8" s="73" t="s">
        <v>558</v>
      </c>
      <c r="K8" s="32">
        <v>6</v>
      </c>
      <c r="L8" s="32"/>
      <c r="M8" s="32"/>
      <c r="N8" s="32"/>
      <c r="O8" s="32"/>
      <c r="P8" s="32">
        <v>1</v>
      </c>
      <c r="Q8" s="32">
        <v>1</v>
      </c>
    </row>
    <row r="9" spans="1:17" s="30" customFormat="1">
      <c r="B9" s="31" t="s">
        <v>496</v>
      </c>
      <c r="C9" s="31" t="s">
        <v>563</v>
      </c>
      <c r="D9" s="31" t="s">
        <v>461</v>
      </c>
      <c r="E9" s="32">
        <v>1</v>
      </c>
      <c r="F9" s="31" t="s">
        <v>461</v>
      </c>
      <c r="G9" s="32">
        <v>3</v>
      </c>
      <c r="H9" s="31" t="s">
        <v>557</v>
      </c>
      <c r="I9" s="32">
        <v>5</v>
      </c>
      <c r="J9" s="73" t="s">
        <v>558</v>
      </c>
      <c r="K9" s="32">
        <v>2</v>
      </c>
      <c r="L9" s="32"/>
      <c r="M9" s="32"/>
      <c r="N9" s="32"/>
      <c r="O9" s="32"/>
      <c r="P9" s="32">
        <v>1</v>
      </c>
      <c r="Q9" s="32">
        <v>1</v>
      </c>
    </row>
    <row r="10" spans="1:17">
      <c r="B10" s="31" t="s">
        <v>515</v>
      </c>
      <c r="C10" s="31" t="s">
        <v>564</v>
      </c>
      <c r="D10" s="31" t="s">
        <v>557</v>
      </c>
      <c r="E10" s="32">
        <v>5</v>
      </c>
      <c r="F10" s="31" t="s">
        <v>558</v>
      </c>
      <c r="G10" s="32">
        <v>1</v>
      </c>
      <c r="H10" s="31" t="s">
        <v>558</v>
      </c>
      <c r="I10" s="32">
        <v>2</v>
      </c>
      <c r="J10" s="31" t="s">
        <v>558</v>
      </c>
      <c r="K10" s="32">
        <v>3</v>
      </c>
      <c r="L10" s="32"/>
      <c r="M10" s="32"/>
      <c r="N10" s="32"/>
      <c r="O10" s="32"/>
      <c r="P10" s="32">
        <v>2</v>
      </c>
      <c r="Q10" s="32">
        <v>2</v>
      </c>
    </row>
    <row r="11" spans="1:17" s="30" customFormat="1">
      <c r="B11" s="31" t="s">
        <v>498</v>
      </c>
      <c r="C11" s="31" t="s">
        <v>565</v>
      </c>
      <c r="D11" s="31" t="s">
        <v>557</v>
      </c>
      <c r="E11" s="32">
        <v>4</v>
      </c>
      <c r="F11" s="31" t="s">
        <v>557</v>
      </c>
      <c r="G11" s="32">
        <v>6</v>
      </c>
      <c r="H11" s="31" t="s">
        <v>558</v>
      </c>
      <c r="I11" s="32">
        <v>1</v>
      </c>
      <c r="J11" s="31" t="s">
        <v>558</v>
      </c>
      <c r="K11" s="32">
        <v>3</v>
      </c>
      <c r="L11" s="32"/>
      <c r="M11" s="32"/>
      <c r="N11" s="32"/>
      <c r="O11" s="32"/>
      <c r="P11" s="32">
        <v>2</v>
      </c>
      <c r="Q11" s="32">
        <v>2</v>
      </c>
    </row>
    <row r="12" spans="1:17" s="30" customFormat="1">
      <c r="B12" s="31" t="s">
        <v>499</v>
      </c>
      <c r="C12" s="31" t="s">
        <v>566</v>
      </c>
      <c r="D12" s="31" t="s">
        <v>461</v>
      </c>
      <c r="E12" s="32">
        <v>1</v>
      </c>
      <c r="F12" s="31" t="s">
        <v>461</v>
      </c>
      <c r="G12" s="32">
        <v>3</v>
      </c>
      <c r="H12" s="31" t="s">
        <v>557</v>
      </c>
      <c r="I12" s="32">
        <v>4</v>
      </c>
      <c r="J12" s="31" t="s">
        <v>557</v>
      </c>
      <c r="K12" s="32">
        <v>6</v>
      </c>
      <c r="L12" s="31" t="s">
        <v>558</v>
      </c>
      <c r="M12" s="32">
        <v>2</v>
      </c>
      <c r="N12" s="32"/>
      <c r="O12" s="32"/>
      <c r="P12" s="32">
        <v>2</v>
      </c>
      <c r="Q12" s="32">
        <v>2</v>
      </c>
    </row>
    <row r="13" spans="1:17" s="45" customFormat="1">
      <c r="B13" s="74" t="s">
        <v>567</v>
      </c>
      <c r="C13" s="31" t="s">
        <v>568</v>
      </c>
      <c r="D13" s="43" t="s">
        <v>561</v>
      </c>
      <c r="E13" s="32">
        <v>2</v>
      </c>
      <c r="F13" s="31"/>
      <c r="G13" s="32"/>
      <c r="H13" s="31"/>
      <c r="I13" s="32"/>
      <c r="J13" s="31"/>
      <c r="K13" s="32"/>
      <c r="L13" s="32"/>
      <c r="M13" s="32"/>
      <c r="N13" s="32"/>
      <c r="O13" s="32"/>
      <c r="P13" s="32">
        <v>4</v>
      </c>
      <c r="Q13" s="32">
        <v>4</v>
      </c>
    </row>
    <row r="14" spans="1:17" s="45" customFormat="1">
      <c r="B14" s="35" t="s">
        <v>569</v>
      </c>
      <c r="C14" s="31" t="s">
        <v>570</v>
      </c>
      <c r="D14" s="31" t="s">
        <v>559</v>
      </c>
      <c r="E14" s="32">
        <v>1</v>
      </c>
      <c r="F14" s="31" t="s">
        <v>461</v>
      </c>
      <c r="G14" s="32">
        <v>3</v>
      </c>
      <c r="H14" s="31" t="s">
        <v>461</v>
      </c>
      <c r="I14" s="32">
        <v>4</v>
      </c>
      <c r="J14" s="31" t="s">
        <v>461</v>
      </c>
      <c r="K14" s="32">
        <v>6</v>
      </c>
      <c r="L14" s="31" t="s">
        <v>557</v>
      </c>
      <c r="M14" s="32">
        <v>5</v>
      </c>
      <c r="N14" s="73" t="s">
        <v>571</v>
      </c>
      <c r="O14" s="32">
        <v>2</v>
      </c>
      <c r="P14" s="32">
        <v>4</v>
      </c>
      <c r="Q14" s="32">
        <v>4</v>
      </c>
    </row>
    <row r="15" spans="1:17" s="45" customFormat="1">
      <c r="B15" s="74" t="s">
        <v>572</v>
      </c>
      <c r="C15" s="31" t="s">
        <v>573</v>
      </c>
      <c r="D15" s="31" t="s">
        <v>559</v>
      </c>
      <c r="E15" s="73">
        <v>2</v>
      </c>
      <c r="F15" s="31" t="s">
        <v>461</v>
      </c>
      <c r="G15" s="32">
        <v>4</v>
      </c>
      <c r="H15" s="31" t="s">
        <v>557</v>
      </c>
      <c r="I15" s="32">
        <v>6</v>
      </c>
      <c r="J15" s="31" t="s">
        <v>558</v>
      </c>
      <c r="K15" s="32">
        <v>1</v>
      </c>
      <c r="L15" s="31" t="s">
        <v>558</v>
      </c>
      <c r="M15" s="32">
        <v>3</v>
      </c>
      <c r="N15" s="32"/>
      <c r="O15" s="32"/>
      <c r="P15" s="32">
        <v>4</v>
      </c>
      <c r="Q15" s="32">
        <v>4</v>
      </c>
    </row>
    <row r="16" spans="1:17" s="64" customFormat="1">
      <c r="B16" s="35" t="s">
        <v>574</v>
      </c>
      <c r="C16" s="31" t="s">
        <v>575</v>
      </c>
      <c r="D16" s="31" t="s">
        <v>560</v>
      </c>
      <c r="E16" s="32">
        <v>2</v>
      </c>
      <c r="F16" s="31" t="s">
        <v>557</v>
      </c>
      <c r="G16" s="32">
        <v>4</v>
      </c>
      <c r="H16" s="31" t="s">
        <v>557</v>
      </c>
      <c r="I16" s="32">
        <v>6</v>
      </c>
      <c r="J16" s="31" t="s">
        <v>558</v>
      </c>
      <c r="K16" s="32">
        <v>1</v>
      </c>
      <c r="L16" s="31" t="s">
        <v>558</v>
      </c>
      <c r="M16" s="32">
        <v>3</v>
      </c>
      <c r="N16" s="31" t="s">
        <v>558</v>
      </c>
      <c r="O16" s="32">
        <v>5</v>
      </c>
      <c r="P16" s="32">
        <v>4</v>
      </c>
      <c r="Q16" s="32">
        <v>4</v>
      </c>
    </row>
    <row r="17" spans="1:17" s="64" customFormat="1">
      <c r="B17" s="35" t="s">
        <v>576</v>
      </c>
      <c r="C17" s="43" t="s">
        <v>577</v>
      </c>
      <c r="D17" s="31" t="s">
        <v>559</v>
      </c>
      <c r="E17" s="32">
        <v>4</v>
      </c>
      <c r="F17" s="31" t="s">
        <v>461</v>
      </c>
      <c r="G17" s="32">
        <v>6</v>
      </c>
      <c r="H17" s="75" t="s">
        <v>557</v>
      </c>
      <c r="I17" s="32">
        <v>5</v>
      </c>
      <c r="J17" s="31" t="s">
        <v>558</v>
      </c>
      <c r="K17" s="32">
        <v>1</v>
      </c>
      <c r="L17" s="43" t="s">
        <v>558</v>
      </c>
      <c r="M17" s="43">
        <v>3</v>
      </c>
      <c r="N17" s="43"/>
      <c r="O17" s="43"/>
      <c r="P17" s="32">
        <v>4</v>
      </c>
      <c r="Q17" s="32">
        <v>4</v>
      </c>
    </row>
    <row r="18" spans="1:17">
      <c r="C18" s="32"/>
      <c r="P18" s="32"/>
      <c r="Q18" s="32"/>
    </row>
    <row r="19" spans="1:17">
      <c r="A19" s="18" t="s">
        <v>180</v>
      </c>
      <c r="B19" s="18" t="s">
        <v>37</v>
      </c>
      <c r="C19" s="25" t="s">
        <v>276</v>
      </c>
      <c r="D19" s="26" t="s">
        <v>275</v>
      </c>
      <c r="E19" s="20" t="s">
        <v>269</v>
      </c>
      <c r="F19" s="26" t="s">
        <v>275</v>
      </c>
      <c r="G19" s="20" t="s">
        <v>269</v>
      </c>
      <c r="H19" s="26" t="s">
        <v>275</v>
      </c>
      <c r="I19" s="20" t="s">
        <v>269</v>
      </c>
      <c r="J19" s="26" t="s">
        <v>275</v>
      </c>
      <c r="K19" s="20" t="s">
        <v>269</v>
      </c>
      <c r="L19" s="26" t="s">
        <v>275</v>
      </c>
      <c r="M19" s="20" t="s">
        <v>269</v>
      </c>
      <c r="N19" s="26" t="s">
        <v>275</v>
      </c>
      <c r="O19" s="20" t="s">
        <v>269</v>
      </c>
      <c r="P19" s="25" t="s">
        <v>277</v>
      </c>
      <c r="Q19" s="25" t="s">
        <v>278</v>
      </c>
    </row>
    <row r="20" spans="1:17">
      <c r="A20" s="18" t="s">
        <v>175</v>
      </c>
    </row>
    <row r="21" spans="1:17">
      <c r="B21" s="1" t="s">
        <v>417</v>
      </c>
      <c r="C21" s="1" t="s">
        <v>490</v>
      </c>
      <c r="D21" s="42"/>
      <c r="E21" s="21">
        <v>1</v>
      </c>
      <c r="F21" s="21">
        <v>4</v>
      </c>
      <c r="G21" s="42"/>
      <c r="H21" s="42"/>
      <c r="I21" s="42"/>
    </row>
    <row r="22" spans="1:17">
      <c r="B22" s="1" t="s">
        <v>418</v>
      </c>
      <c r="C22" s="1" t="s">
        <v>421</v>
      </c>
      <c r="D22" s="42"/>
      <c r="E22" s="21">
        <v>2</v>
      </c>
      <c r="F22" s="21">
        <v>5</v>
      </c>
      <c r="G22" s="42"/>
      <c r="H22" s="42"/>
      <c r="I22" s="42"/>
    </row>
    <row r="23" spans="1:17">
      <c r="B23" s="1" t="s">
        <v>419</v>
      </c>
      <c r="C23" s="1" t="s">
        <v>422</v>
      </c>
      <c r="D23" s="42"/>
      <c r="E23" s="21">
        <v>3</v>
      </c>
      <c r="F23" s="21">
        <v>6</v>
      </c>
      <c r="G23" s="42"/>
      <c r="H23" s="42"/>
      <c r="I23" s="42"/>
    </row>
    <row r="24" spans="1:17">
      <c r="B24" s="46" t="s">
        <v>420</v>
      </c>
      <c r="C24" s="46" t="s">
        <v>423</v>
      </c>
      <c r="D24" s="42"/>
      <c r="E24" s="42"/>
      <c r="F24" s="42"/>
      <c r="G24" s="42"/>
      <c r="H24" s="42"/>
      <c r="I24" s="42"/>
    </row>
    <row r="25" spans="1:17">
      <c r="B25" s="1" t="s">
        <v>457</v>
      </c>
      <c r="C25" s="1" t="s">
        <v>458</v>
      </c>
      <c r="D25" s="42"/>
      <c r="E25" s="42"/>
      <c r="F25" s="42"/>
      <c r="G25" s="42"/>
      <c r="H25" s="30"/>
      <c r="I25" s="42"/>
    </row>
    <row r="26" spans="1:17">
      <c r="D26" s="30"/>
      <c r="E26" s="30"/>
      <c r="F26" s="30"/>
      <c r="G26" s="30"/>
      <c r="H26" s="30"/>
      <c r="I26" s="30"/>
    </row>
    <row r="27" spans="1:17">
      <c r="B27" s="42" t="s">
        <v>493</v>
      </c>
      <c r="C27" s="21">
        <v>1</v>
      </c>
      <c r="D27" s="51" t="s">
        <v>505</v>
      </c>
      <c r="E27" s="30"/>
      <c r="F27" s="42" t="s">
        <v>500</v>
      </c>
      <c r="G27" s="21">
        <v>1</v>
      </c>
      <c r="H27" s="21">
        <v>4</v>
      </c>
      <c r="I27" s="30"/>
    </row>
    <row r="28" spans="1:17" s="42" customFormat="1">
      <c r="C28" s="51" t="s">
        <v>507</v>
      </c>
      <c r="D28" s="21">
        <v>5</v>
      </c>
      <c r="G28" s="51" t="s">
        <v>508</v>
      </c>
      <c r="H28" s="21">
        <v>5</v>
      </c>
    </row>
    <row r="29" spans="1:17" s="42" customFormat="1">
      <c r="C29" s="21">
        <v>3</v>
      </c>
      <c r="D29" s="51" t="s">
        <v>505</v>
      </c>
      <c r="G29" s="21">
        <v>3</v>
      </c>
      <c r="H29" s="21">
        <v>6</v>
      </c>
    </row>
    <row r="30" spans="1:17" s="42" customFormat="1"/>
    <row r="31" spans="1:17">
      <c r="B31" s="42" t="s">
        <v>495</v>
      </c>
      <c r="C31" s="21">
        <v>1</v>
      </c>
      <c r="D31" s="21">
        <v>4</v>
      </c>
      <c r="E31" s="30"/>
      <c r="F31" s="42" t="s">
        <v>501</v>
      </c>
      <c r="G31" s="51" t="s">
        <v>507</v>
      </c>
      <c r="H31" s="51" t="s">
        <v>505</v>
      </c>
      <c r="I31" s="30"/>
    </row>
    <row r="32" spans="1:17" s="42" customFormat="1">
      <c r="C32" s="51" t="s">
        <v>507</v>
      </c>
      <c r="D32" s="51" t="s">
        <v>506</v>
      </c>
      <c r="G32" s="51" t="s">
        <v>507</v>
      </c>
      <c r="H32" s="21">
        <v>5</v>
      </c>
    </row>
    <row r="33" spans="2:9" s="42" customFormat="1">
      <c r="C33" s="21">
        <v>3</v>
      </c>
      <c r="D33" s="21">
        <v>6</v>
      </c>
      <c r="G33" s="51" t="s">
        <v>507</v>
      </c>
      <c r="H33" s="51" t="s">
        <v>505</v>
      </c>
    </row>
    <row r="34" spans="2:9" s="42" customFormat="1"/>
    <row r="35" spans="2:9">
      <c r="B35" s="42" t="s">
        <v>497</v>
      </c>
      <c r="C35" s="51" t="s">
        <v>507</v>
      </c>
      <c r="D35" s="21">
        <v>4</v>
      </c>
      <c r="E35" s="30"/>
      <c r="F35" s="42" t="s">
        <v>502</v>
      </c>
      <c r="G35" s="51" t="s">
        <v>505</v>
      </c>
      <c r="H35" s="51" t="s">
        <v>506</v>
      </c>
      <c r="I35" s="30"/>
    </row>
    <row r="36" spans="2:9" s="42" customFormat="1">
      <c r="C36" s="51" t="s">
        <v>507</v>
      </c>
      <c r="D36" s="51" t="s">
        <v>506</v>
      </c>
      <c r="G36" s="51" t="s">
        <v>507</v>
      </c>
      <c r="H36" s="51">
        <v>5</v>
      </c>
    </row>
    <row r="37" spans="2:9" s="42" customFormat="1">
      <c r="C37" s="51" t="s">
        <v>507</v>
      </c>
      <c r="D37" s="21">
        <v>6</v>
      </c>
      <c r="G37" s="51" t="s">
        <v>505</v>
      </c>
      <c r="H37" s="51" t="s">
        <v>506</v>
      </c>
    </row>
    <row r="38" spans="2:9" s="42" customFormat="1"/>
    <row r="39" spans="2:9">
      <c r="B39" s="42" t="s">
        <v>498</v>
      </c>
      <c r="C39" s="51" t="s">
        <v>507</v>
      </c>
      <c r="D39" s="51" t="s">
        <v>506</v>
      </c>
      <c r="E39" s="30"/>
      <c r="F39" s="42" t="s">
        <v>503</v>
      </c>
      <c r="G39" s="51" t="s">
        <v>507</v>
      </c>
      <c r="H39" s="51" t="s">
        <v>506</v>
      </c>
      <c r="I39" s="30"/>
    </row>
    <row r="40" spans="2:9" s="42" customFormat="1">
      <c r="C40" s="21">
        <v>2</v>
      </c>
      <c r="D40" s="21">
        <v>5</v>
      </c>
      <c r="G40" s="51" t="s">
        <v>505</v>
      </c>
      <c r="H40" s="51" t="s">
        <v>505</v>
      </c>
    </row>
    <row r="41" spans="2:9" s="42" customFormat="1">
      <c r="C41" s="51" t="s">
        <v>507</v>
      </c>
      <c r="D41" s="51" t="s">
        <v>506</v>
      </c>
      <c r="G41" s="51" t="s">
        <v>507</v>
      </c>
      <c r="H41" s="51" t="s">
        <v>506</v>
      </c>
    </row>
    <row r="42" spans="2:9" s="42" customFormat="1"/>
    <row r="43" spans="2:9">
      <c r="B43" s="42" t="s">
        <v>499</v>
      </c>
      <c r="C43" s="51" t="s">
        <v>516</v>
      </c>
      <c r="D43" s="51" t="s">
        <v>418</v>
      </c>
      <c r="E43" s="30"/>
      <c r="F43" s="42" t="s">
        <v>504</v>
      </c>
      <c r="G43" s="21">
        <v>1</v>
      </c>
      <c r="H43" s="51" t="s">
        <v>507</v>
      </c>
      <c r="I43" s="30"/>
    </row>
    <row r="44" spans="2:9" s="42" customFormat="1">
      <c r="C44" s="51" t="s">
        <v>507</v>
      </c>
      <c r="D44" s="51">
        <v>5</v>
      </c>
      <c r="G44" s="51" t="s">
        <v>508</v>
      </c>
      <c r="H44" s="21">
        <v>5</v>
      </c>
    </row>
    <row r="45" spans="2:9" s="42" customFormat="1">
      <c r="C45" s="51" t="s">
        <v>516</v>
      </c>
      <c r="D45" s="51" t="s">
        <v>506</v>
      </c>
      <c r="G45" s="21">
        <v>3</v>
      </c>
      <c r="H45" s="51" t="s">
        <v>506</v>
      </c>
    </row>
    <row r="46" spans="2:9" s="42" customFormat="1"/>
    <row r="47" spans="2:9">
      <c r="D47" s="30"/>
      <c r="E47" s="30"/>
      <c r="F47" s="30"/>
      <c r="G47" s="30"/>
      <c r="H47" s="30"/>
      <c r="I47" s="30"/>
    </row>
    <row r="48" spans="2:9">
      <c r="D48" s="30"/>
      <c r="E48" s="30"/>
      <c r="F48" s="30"/>
      <c r="G48" s="30"/>
      <c r="H48" s="30"/>
      <c r="I48" s="30"/>
    </row>
    <row r="49" spans="4:9">
      <c r="D49" s="30"/>
      <c r="E49" s="30"/>
      <c r="F49" s="30"/>
      <c r="G49" s="30"/>
      <c r="H49" s="30"/>
      <c r="I49" s="30"/>
    </row>
    <row r="50" spans="4:9">
      <c r="D50" s="30"/>
      <c r="E50" s="30"/>
      <c r="F50" s="30"/>
      <c r="G50" s="30"/>
      <c r="H50" s="30"/>
      <c r="I50" s="30"/>
    </row>
    <row r="51" spans="4:9">
      <c r="D51" s="30"/>
      <c r="E51" s="30"/>
      <c r="F51" s="30"/>
      <c r="G51" s="30"/>
      <c r="H51" s="30"/>
      <c r="I51" s="30"/>
    </row>
    <row r="52" spans="4:9">
      <c r="D52" s="30"/>
      <c r="E52" s="30"/>
      <c r="F52" s="30"/>
      <c r="G52" s="30"/>
      <c r="I52" s="30"/>
    </row>
    <row r="53" spans="4:9">
      <c r="D53" s="30"/>
      <c r="E53" s="30"/>
      <c r="F53" s="30"/>
      <c r="G53" s="30"/>
      <c r="H53" s="30"/>
      <c r="I53" s="30"/>
    </row>
    <row r="54" spans="4:9">
      <c r="D54" s="30"/>
      <c r="E54" s="30"/>
      <c r="F54" s="30"/>
      <c r="G54" s="30"/>
      <c r="H54" s="30"/>
      <c r="I54" s="30"/>
    </row>
    <row r="55" spans="4:9">
      <c r="D55" s="30"/>
      <c r="E55" s="30"/>
      <c r="F55" s="30"/>
      <c r="G55" s="30"/>
      <c r="H55" s="30"/>
      <c r="I55" s="30"/>
    </row>
    <row r="56" spans="4:9">
      <c r="D56" s="30"/>
      <c r="E56" s="30"/>
      <c r="F56" s="30"/>
      <c r="G56" s="30"/>
      <c r="H56" s="30"/>
      <c r="I56" s="30"/>
    </row>
    <row r="57" spans="4:9">
      <c r="D57" s="30"/>
      <c r="E57" s="30"/>
      <c r="F57" s="30"/>
      <c r="G57" s="30"/>
      <c r="H57" s="30"/>
      <c r="I57" s="30"/>
    </row>
    <row r="58" spans="4:9">
      <c r="D58" s="30"/>
      <c r="E58" s="30"/>
      <c r="F58" s="30"/>
      <c r="G58" s="30"/>
      <c r="H58" s="30"/>
      <c r="I58" s="30"/>
    </row>
    <row r="59" spans="4:9">
      <c r="D59" s="30"/>
      <c r="E59" s="30"/>
      <c r="F59" s="30"/>
      <c r="G59" s="30"/>
      <c r="H59" s="30"/>
      <c r="I59" s="30"/>
    </row>
    <row r="60" spans="4:9">
      <c r="D60" s="30"/>
      <c r="E60" s="30"/>
      <c r="F60" s="30"/>
      <c r="G60" s="30"/>
      <c r="H60" s="30"/>
      <c r="I60" s="30"/>
    </row>
    <row r="61" spans="4:9">
      <c r="D61" s="30"/>
      <c r="E61" s="30"/>
      <c r="F61" s="30"/>
      <c r="G61" s="30"/>
      <c r="H61" s="30"/>
      <c r="I61" s="30"/>
    </row>
    <row r="62" spans="4:9">
      <c r="D62" s="30"/>
      <c r="E62" s="30"/>
      <c r="F62" s="30"/>
      <c r="G62" s="30"/>
      <c r="H62" s="30"/>
      <c r="I62" s="30"/>
    </row>
    <row r="63" spans="4:9">
      <c r="D63" s="30"/>
      <c r="E63" s="30"/>
      <c r="F63" s="30"/>
      <c r="G63" s="30"/>
      <c r="H63" s="30"/>
      <c r="I63" s="30"/>
    </row>
    <row r="64" spans="4:9">
      <c r="D64" s="30"/>
      <c r="E64" s="30"/>
      <c r="F64" s="30"/>
      <c r="G64" s="30"/>
      <c r="H64" s="30"/>
      <c r="I64" s="30"/>
    </row>
    <row r="65" spans="4:9">
      <c r="D65" s="30"/>
      <c r="E65" s="30"/>
      <c r="F65" s="30"/>
      <c r="G65" s="30"/>
      <c r="H65" s="30"/>
      <c r="I65" s="30"/>
    </row>
    <row r="66" spans="4:9">
      <c r="D66" s="30"/>
      <c r="E66" s="30"/>
      <c r="F66" s="30"/>
      <c r="G66" s="30"/>
      <c r="H66" s="30"/>
      <c r="I66" s="30"/>
    </row>
    <row r="67" spans="4:9">
      <c r="D67" s="30"/>
      <c r="E67" s="30"/>
      <c r="F67" s="30"/>
      <c r="G67" s="30"/>
      <c r="H67" s="30"/>
      <c r="I67" s="30"/>
    </row>
    <row r="68" spans="4:9">
      <c r="D68" s="30"/>
      <c r="E68" s="30"/>
      <c r="F68" s="30"/>
      <c r="G68" s="30"/>
      <c r="H68" s="30"/>
      <c r="I68" s="30"/>
    </row>
    <row r="69" spans="4:9">
      <c r="D69" s="30"/>
      <c r="E69" s="30"/>
      <c r="F69" s="30"/>
      <c r="G69" s="30"/>
      <c r="H69" s="30"/>
      <c r="I69" s="30"/>
    </row>
    <row r="70" spans="4:9">
      <c r="D70" s="30"/>
      <c r="E70" s="30"/>
      <c r="F70" s="30"/>
      <c r="G70" s="30"/>
      <c r="H70" s="30"/>
      <c r="I70" s="30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A30" sqref="A30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134.5" style="11" bestFit="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>
      <c r="A1" s="11" t="s">
        <v>175</v>
      </c>
    </row>
    <row r="2" spans="1:26">
      <c r="B2" s="76" t="s">
        <v>217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  <row r="4" spans="1:26">
      <c r="A4" s="55" t="s">
        <v>176</v>
      </c>
      <c r="B4" s="55" t="s">
        <v>19</v>
      </c>
      <c r="C4" s="55" t="s">
        <v>19</v>
      </c>
      <c r="D4" s="55" t="s">
        <v>18</v>
      </c>
      <c r="E4" s="55" t="s">
        <v>19</v>
      </c>
      <c r="F4" s="55" t="s">
        <v>19</v>
      </c>
      <c r="G4" s="13" t="s">
        <v>18</v>
      </c>
      <c r="H4" s="13" t="s">
        <v>18</v>
      </c>
      <c r="I4" s="13" t="s">
        <v>18</v>
      </c>
      <c r="J4" s="13" t="s">
        <v>18</v>
      </c>
      <c r="K4" s="13" t="s">
        <v>18</v>
      </c>
      <c r="L4" s="13" t="s">
        <v>22</v>
      </c>
      <c r="M4" s="13" t="s">
        <v>18</v>
      </c>
      <c r="N4" s="13" t="s">
        <v>18</v>
      </c>
      <c r="O4" s="55" t="s">
        <v>177</v>
      </c>
      <c r="P4" s="55" t="s">
        <v>177</v>
      </c>
      <c r="Q4" s="55" t="s">
        <v>177</v>
      </c>
      <c r="R4" s="55" t="s">
        <v>177</v>
      </c>
      <c r="S4" s="55" t="s">
        <v>177</v>
      </c>
      <c r="T4" s="55" t="s">
        <v>177</v>
      </c>
      <c r="U4" s="55" t="s">
        <v>177</v>
      </c>
      <c r="V4" s="55" t="s">
        <v>177</v>
      </c>
      <c r="W4" s="55" t="s">
        <v>177</v>
      </c>
      <c r="X4" s="55" t="s">
        <v>177</v>
      </c>
      <c r="Y4" s="55" t="s">
        <v>19</v>
      </c>
      <c r="Z4" s="55" t="s">
        <v>19</v>
      </c>
    </row>
    <row r="5" spans="1:26">
      <c r="A5" s="55" t="s">
        <v>178</v>
      </c>
      <c r="B5" s="1" t="s">
        <v>13</v>
      </c>
      <c r="C5" s="1" t="s">
        <v>0</v>
      </c>
      <c r="D5" s="1" t="s">
        <v>173</v>
      </c>
      <c r="E5" s="1" t="s">
        <v>9</v>
      </c>
      <c r="F5" s="1" t="s">
        <v>11</v>
      </c>
      <c r="G5" s="1" t="s">
        <v>113</v>
      </c>
      <c r="H5" s="1" t="s">
        <v>56</v>
      </c>
      <c r="I5" s="1" t="s">
        <v>57</v>
      </c>
      <c r="J5" s="1" t="s">
        <v>117</v>
      </c>
      <c r="K5" s="1" t="s">
        <v>58</v>
      </c>
      <c r="L5" s="1" t="s">
        <v>75</v>
      </c>
      <c r="M5" s="1" t="s">
        <v>76</v>
      </c>
      <c r="N5" s="1" t="s">
        <v>77</v>
      </c>
      <c r="O5" s="1" t="s">
        <v>157</v>
      </c>
      <c r="P5" s="1" t="s">
        <v>156</v>
      </c>
      <c r="Q5" s="1" t="s">
        <v>158</v>
      </c>
      <c r="R5" s="1" t="s">
        <v>159</v>
      </c>
      <c r="S5" s="1" t="s">
        <v>160</v>
      </c>
      <c r="T5" s="1" t="s">
        <v>161</v>
      </c>
      <c r="U5" s="1" t="s">
        <v>162</v>
      </c>
      <c r="V5" s="1" t="s">
        <v>163</v>
      </c>
      <c r="W5" s="1" t="s">
        <v>218</v>
      </c>
      <c r="X5" s="1" t="s">
        <v>219</v>
      </c>
      <c r="Y5" s="1" t="s">
        <v>331</v>
      </c>
      <c r="Z5" s="1" t="s">
        <v>336</v>
      </c>
    </row>
    <row r="6" spans="1:26">
      <c r="A6" s="55" t="s">
        <v>179</v>
      </c>
      <c r="B6" s="1" t="s">
        <v>310</v>
      </c>
      <c r="C6" s="1" t="s">
        <v>308</v>
      </c>
      <c r="D6" s="1">
        <v>1</v>
      </c>
      <c r="E6" s="1" t="s">
        <v>323</v>
      </c>
      <c r="F6" s="27" t="s">
        <v>533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/>
      <c r="M6" s="1"/>
      <c r="N6" s="1"/>
      <c r="O6" s="49">
        <v>1</v>
      </c>
      <c r="P6" s="49"/>
      <c r="Q6" s="50">
        <f>O6+10%</f>
        <v>1.1000000000000001</v>
      </c>
      <c r="R6" s="50"/>
      <c r="S6" s="49">
        <f>Q6+10%</f>
        <v>1.2000000000000002</v>
      </c>
      <c r="T6" s="50"/>
      <c r="U6" s="50">
        <f>S6+10%</f>
        <v>1.3000000000000003</v>
      </c>
      <c r="V6" s="50"/>
      <c r="W6" s="49">
        <f>U6+10%</f>
        <v>1.4000000000000004</v>
      </c>
      <c r="X6" s="50"/>
      <c r="Y6" s="1"/>
      <c r="Z6" s="1" t="s">
        <v>332</v>
      </c>
    </row>
    <row r="7" spans="1:26" s="23" customFormat="1">
      <c r="A7" s="55"/>
      <c r="B7" s="1" t="s">
        <v>312</v>
      </c>
      <c r="C7" s="1" t="s">
        <v>308</v>
      </c>
      <c r="D7" s="1">
        <v>2</v>
      </c>
      <c r="E7" s="1" t="s">
        <v>325</v>
      </c>
      <c r="F7" s="27" t="s">
        <v>534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 t="s">
        <v>131</v>
      </c>
      <c r="M7" s="1">
        <v>0</v>
      </c>
      <c r="N7" s="1"/>
      <c r="O7" s="65">
        <v>0.8</v>
      </c>
      <c r="P7" s="65">
        <v>0.4</v>
      </c>
      <c r="Q7" s="50">
        <f t="shared" ref="Q7:Q37" si="0">O7+10%</f>
        <v>0.9</v>
      </c>
      <c r="R7" s="50">
        <f t="shared" ref="R7:X37" si="1">P7+10%</f>
        <v>0.5</v>
      </c>
      <c r="S7" s="49">
        <f t="shared" ref="S7:S37" si="2">Q7+10%</f>
        <v>1</v>
      </c>
      <c r="T7" s="50">
        <f t="shared" si="1"/>
        <v>0.6</v>
      </c>
      <c r="U7" s="50">
        <f t="shared" ref="U7:U37" si="3">S7+10%</f>
        <v>1.1000000000000001</v>
      </c>
      <c r="V7" s="50">
        <f t="shared" si="1"/>
        <v>0.7</v>
      </c>
      <c r="W7" s="49">
        <f t="shared" ref="W7:W37" si="4">U7+10%</f>
        <v>1.2000000000000002</v>
      </c>
      <c r="X7" s="50">
        <f t="shared" si="1"/>
        <v>0.79999999999999993</v>
      </c>
      <c r="Y7" s="1"/>
      <c r="Z7" s="1" t="s">
        <v>333</v>
      </c>
    </row>
    <row r="8" spans="1:26" s="23" customFormat="1">
      <c r="A8" s="55"/>
      <c r="B8" s="1" t="s">
        <v>313</v>
      </c>
      <c r="C8" s="1" t="s">
        <v>308</v>
      </c>
      <c r="D8" s="1">
        <v>3</v>
      </c>
      <c r="E8" s="1" t="s">
        <v>327</v>
      </c>
      <c r="F8" s="27" t="s">
        <v>537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 t="s">
        <v>80</v>
      </c>
      <c r="M8" s="1">
        <v>0</v>
      </c>
      <c r="N8" s="1">
        <v>1</v>
      </c>
      <c r="O8" s="49">
        <v>0.6</v>
      </c>
      <c r="P8" s="49">
        <v>0.8</v>
      </c>
      <c r="Q8" s="50">
        <f t="shared" si="0"/>
        <v>0.7</v>
      </c>
      <c r="R8" s="50">
        <f t="shared" si="1"/>
        <v>0.9</v>
      </c>
      <c r="S8" s="49">
        <f t="shared" si="2"/>
        <v>0.79999999999999993</v>
      </c>
      <c r="T8" s="50">
        <f t="shared" si="1"/>
        <v>1</v>
      </c>
      <c r="U8" s="50">
        <f t="shared" si="3"/>
        <v>0.89999999999999991</v>
      </c>
      <c r="V8" s="50">
        <f t="shared" si="1"/>
        <v>1.1000000000000001</v>
      </c>
      <c r="W8" s="49">
        <f t="shared" si="4"/>
        <v>0.99999999999999989</v>
      </c>
      <c r="X8" s="50">
        <f t="shared" si="1"/>
        <v>1.2000000000000002</v>
      </c>
      <c r="Y8" s="1"/>
      <c r="Z8" s="1" t="s">
        <v>491</v>
      </c>
    </row>
    <row r="9" spans="1:26" s="23" customFormat="1">
      <c r="A9" s="55"/>
      <c r="B9" s="1" t="s">
        <v>314</v>
      </c>
      <c r="C9" s="1" t="s">
        <v>308</v>
      </c>
      <c r="D9" s="1">
        <v>4</v>
      </c>
      <c r="E9" s="1" t="s">
        <v>329</v>
      </c>
      <c r="F9" s="27" t="s">
        <v>535</v>
      </c>
      <c r="G9" s="1">
        <v>0</v>
      </c>
      <c r="H9" s="1">
        <v>0</v>
      </c>
      <c r="I9" s="1">
        <v>0</v>
      </c>
      <c r="J9" s="1">
        <v>0</v>
      </c>
      <c r="K9" s="1">
        <v>2</v>
      </c>
      <c r="L9" s="1"/>
      <c r="M9" s="1"/>
      <c r="N9" s="1"/>
      <c r="O9" s="65">
        <v>0.7</v>
      </c>
      <c r="P9" s="49"/>
      <c r="Q9" s="50">
        <f t="shared" si="0"/>
        <v>0.79999999999999993</v>
      </c>
      <c r="R9" s="50"/>
      <c r="S9" s="49">
        <f t="shared" si="2"/>
        <v>0.89999999999999991</v>
      </c>
      <c r="T9" s="50"/>
      <c r="U9" s="50">
        <f t="shared" si="3"/>
        <v>0.99999999999999989</v>
      </c>
      <c r="V9" s="50"/>
      <c r="W9" s="49">
        <f t="shared" si="4"/>
        <v>1.0999999999999999</v>
      </c>
      <c r="X9" s="50"/>
      <c r="Y9" s="1"/>
      <c r="Z9" s="1" t="s">
        <v>332</v>
      </c>
    </row>
    <row r="10" spans="1:26" s="23" customFormat="1">
      <c r="A10" s="55"/>
      <c r="B10" s="1" t="s">
        <v>316</v>
      </c>
      <c r="C10" s="1" t="s">
        <v>308</v>
      </c>
      <c r="D10" s="1">
        <v>5</v>
      </c>
      <c r="E10" s="1" t="s">
        <v>324</v>
      </c>
      <c r="F10" s="27" t="s">
        <v>533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/>
      <c r="M10" s="1"/>
      <c r="N10" s="1"/>
      <c r="O10" s="49">
        <v>1.2</v>
      </c>
      <c r="P10" s="49"/>
      <c r="Q10" s="50">
        <f t="shared" si="0"/>
        <v>1.3</v>
      </c>
      <c r="R10" s="50"/>
      <c r="S10" s="49">
        <f t="shared" si="2"/>
        <v>1.4000000000000001</v>
      </c>
      <c r="T10" s="50"/>
      <c r="U10" s="50">
        <f t="shared" si="3"/>
        <v>1.5000000000000002</v>
      </c>
      <c r="V10" s="50"/>
      <c r="W10" s="49">
        <f t="shared" si="4"/>
        <v>1.6000000000000003</v>
      </c>
      <c r="X10" s="50"/>
      <c r="Y10" s="1" t="s">
        <v>310</v>
      </c>
      <c r="Z10" s="1" t="s">
        <v>332</v>
      </c>
    </row>
    <row r="11" spans="1:26" s="23" customFormat="1">
      <c r="A11" s="55"/>
      <c r="B11" s="1" t="s">
        <v>318</v>
      </c>
      <c r="C11" s="1" t="s">
        <v>308</v>
      </c>
      <c r="D11" s="1">
        <v>6</v>
      </c>
      <c r="E11" s="1" t="s">
        <v>326</v>
      </c>
      <c r="F11" s="27" t="s">
        <v>534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 t="s">
        <v>131</v>
      </c>
      <c r="M11" s="1">
        <v>0</v>
      </c>
      <c r="N11" s="1"/>
      <c r="O11" s="65">
        <v>1</v>
      </c>
      <c r="P11" s="65">
        <v>0.4</v>
      </c>
      <c r="Q11" s="50">
        <f t="shared" si="0"/>
        <v>1.1000000000000001</v>
      </c>
      <c r="R11" s="50">
        <f t="shared" si="1"/>
        <v>0.5</v>
      </c>
      <c r="S11" s="49">
        <f t="shared" si="2"/>
        <v>1.2000000000000002</v>
      </c>
      <c r="T11" s="50">
        <f t="shared" si="1"/>
        <v>0.6</v>
      </c>
      <c r="U11" s="50">
        <f t="shared" si="3"/>
        <v>1.3000000000000003</v>
      </c>
      <c r="V11" s="50">
        <f t="shared" si="1"/>
        <v>0.7</v>
      </c>
      <c r="W11" s="49">
        <f t="shared" si="4"/>
        <v>1.4000000000000004</v>
      </c>
      <c r="X11" s="50">
        <f t="shared" si="1"/>
        <v>0.79999999999999993</v>
      </c>
      <c r="Y11" s="1" t="s">
        <v>312</v>
      </c>
      <c r="Z11" s="1" t="s">
        <v>335</v>
      </c>
    </row>
    <row r="12" spans="1:26" s="23" customFormat="1">
      <c r="A12" s="55"/>
      <c r="B12" s="1" t="s">
        <v>320</v>
      </c>
      <c r="C12" s="1" t="s">
        <v>308</v>
      </c>
      <c r="D12" s="1">
        <v>7</v>
      </c>
      <c r="E12" s="1" t="s">
        <v>328</v>
      </c>
      <c r="F12" s="27" t="s">
        <v>537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 t="s">
        <v>80</v>
      </c>
      <c r="M12" s="1">
        <v>0</v>
      </c>
      <c r="N12" s="1">
        <v>1</v>
      </c>
      <c r="O12" s="49">
        <v>0.7</v>
      </c>
      <c r="P12" s="49">
        <v>0.9</v>
      </c>
      <c r="Q12" s="50">
        <f t="shared" si="0"/>
        <v>0.79999999999999993</v>
      </c>
      <c r="R12" s="50">
        <f t="shared" si="1"/>
        <v>1</v>
      </c>
      <c r="S12" s="49">
        <f t="shared" si="2"/>
        <v>0.89999999999999991</v>
      </c>
      <c r="T12" s="50">
        <f t="shared" si="1"/>
        <v>1.1000000000000001</v>
      </c>
      <c r="U12" s="50">
        <f t="shared" si="3"/>
        <v>0.99999999999999989</v>
      </c>
      <c r="V12" s="50">
        <f t="shared" si="1"/>
        <v>1.2000000000000002</v>
      </c>
      <c r="W12" s="49">
        <f t="shared" si="4"/>
        <v>1.0999999999999999</v>
      </c>
      <c r="X12" s="50">
        <f t="shared" si="1"/>
        <v>1.3000000000000003</v>
      </c>
      <c r="Y12" s="1" t="s">
        <v>313</v>
      </c>
      <c r="Z12" s="1" t="s">
        <v>334</v>
      </c>
    </row>
    <row r="13" spans="1:26" s="23" customFormat="1">
      <c r="A13" s="55"/>
      <c r="B13" s="1" t="s">
        <v>322</v>
      </c>
      <c r="C13" s="1" t="s">
        <v>308</v>
      </c>
      <c r="D13" s="1">
        <v>8</v>
      </c>
      <c r="E13" s="1" t="s">
        <v>330</v>
      </c>
      <c r="F13" s="27" t="s">
        <v>535</v>
      </c>
      <c r="G13" s="1">
        <v>0</v>
      </c>
      <c r="H13" s="1">
        <v>0</v>
      </c>
      <c r="I13" s="1">
        <v>0</v>
      </c>
      <c r="J13" s="1">
        <v>0</v>
      </c>
      <c r="K13" s="1">
        <v>2</v>
      </c>
      <c r="L13" s="1"/>
      <c r="M13" s="1"/>
      <c r="N13" s="1"/>
      <c r="O13" s="65">
        <v>1</v>
      </c>
      <c r="P13" s="49"/>
      <c r="Q13" s="50">
        <f t="shared" si="0"/>
        <v>1.1000000000000001</v>
      </c>
      <c r="R13" s="50"/>
      <c r="S13" s="49">
        <f t="shared" si="2"/>
        <v>1.2000000000000002</v>
      </c>
      <c r="T13" s="50"/>
      <c r="U13" s="50">
        <f t="shared" si="3"/>
        <v>1.3000000000000003</v>
      </c>
      <c r="V13" s="50"/>
      <c r="W13" s="49">
        <f t="shared" si="4"/>
        <v>1.4000000000000004</v>
      </c>
      <c r="X13" s="50"/>
      <c r="Y13" s="1" t="s">
        <v>314</v>
      </c>
      <c r="Z13" s="1" t="s">
        <v>332</v>
      </c>
    </row>
    <row r="14" spans="1:26" s="23" customFormat="1">
      <c r="A14" s="55"/>
      <c r="B14" s="1" t="s">
        <v>337</v>
      </c>
      <c r="C14" s="1" t="s">
        <v>347</v>
      </c>
      <c r="D14" s="1">
        <v>1</v>
      </c>
      <c r="E14" s="1" t="s">
        <v>348</v>
      </c>
      <c r="F14" s="27" t="s">
        <v>536</v>
      </c>
      <c r="G14" s="1">
        <v>0</v>
      </c>
      <c r="H14" s="1">
        <v>0</v>
      </c>
      <c r="I14" s="1">
        <v>1</v>
      </c>
      <c r="J14" s="1">
        <v>1</v>
      </c>
      <c r="K14" s="1">
        <v>0</v>
      </c>
      <c r="L14" s="1"/>
      <c r="M14" s="1"/>
      <c r="N14" s="1"/>
      <c r="O14" s="49">
        <v>1</v>
      </c>
      <c r="P14" s="49"/>
      <c r="Q14" s="50">
        <f t="shared" si="0"/>
        <v>1.1000000000000001</v>
      </c>
      <c r="R14" s="50"/>
      <c r="S14" s="49">
        <f t="shared" si="2"/>
        <v>1.2000000000000002</v>
      </c>
      <c r="T14" s="50"/>
      <c r="U14" s="50">
        <f t="shared" si="3"/>
        <v>1.3000000000000003</v>
      </c>
      <c r="V14" s="50"/>
      <c r="W14" s="49">
        <f t="shared" si="4"/>
        <v>1.4000000000000004</v>
      </c>
      <c r="X14" s="50"/>
      <c r="Y14" s="1"/>
      <c r="Z14" s="1" t="s">
        <v>356</v>
      </c>
    </row>
    <row r="15" spans="1:26" s="23" customFormat="1">
      <c r="A15" s="55"/>
      <c r="B15" s="1" t="s">
        <v>338</v>
      </c>
      <c r="C15" s="1" t="s">
        <v>347</v>
      </c>
      <c r="D15" s="1">
        <v>2</v>
      </c>
      <c r="E15" s="1" t="s">
        <v>350</v>
      </c>
      <c r="F15" s="27" t="s">
        <v>538</v>
      </c>
      <c r="G15" s="1">
        <v>0</v>
      </c>
      <c r="H15" s="1">
        <v>0</v>
      </c>
      <c r="I15" s="1">
        <v>1</v>
      </c>
      <c r="J15" s="1">
        <v>1</v>
      </c>
      <c r="K15" s="1">
        <v>0</v>
      </c>
      <c r="L15" s="1" t="s">
        <v>415</v>
      </c>
      <c r="M15" s="1">
        <v>1</v>
      </c>
      <c r="N15" s="1">
        <v>1</v>
      </c>
      <c r="O15" s="49">
        <v>0.9</v>
      </c>
      <c r="P15" s="49">
        <v>0.3</v>
      </c>
      <c r="Q15" s="50">
        <f t="shared" si="0"/>
        <v>1</v>
      </c>
      <c r="R15" s="50">
        <f t="shared" si="1"/>
        <v>0.4</v>
      </c>
      <c r="S15" s="49">
        <f t="shared" si="2"/>
        <v>1.1000000000000001</v>
      </c>
      <c r="T15" s="50">
        <f t="shared" si="1"/>
        <v>0.5</v>
      </c>
      <c r="U15" s="50">
        <f t="shared" si="3"/>
        <v>1.2000000000000002</v>
      </c>
      <c r="V15" s="50">
        <f t="shared" si="1"/>
        <v>0.6</v>
      </c>
      <c r="W15" s="49">
        <f t="shared" si="4"/>
        <v>1.3000000000000003</v>
      </c>
      <c r="X15" s="50">
        <f t="shared" si="1"/>
        <v>0.7</v>
      </c>
      <c r="Y15" s="1"/>
      <c r="Z15" s="1" t="s">
        <v>357</v>
      </c>
    </row>
    <row r="16" spans="1:26" s="23" customFormat="1">
      <c r="A16" s="55"/>
      <c r="B16" s="1" t="s">
        <v>339</v>
      </c>
      <c r="C16" s="1" t="s">
        <v>347</v>
      </c>
      <c r="D16" s="1">
        <v>3</v>
      </c>
      <c r="E16" s="1" t="s">
        <v>352</v>
      </c>
      <c r="F16" s="27" t="s">
        <v>539</v>
      </c>
      <c r="G16" s="1">
        <v>0</v>
      </c>
      <c r="H16" s="1">
        <v>0</v>
      </c>
      <c r="I16" s="1">
        <v>1</v>
      </c>
      <c r="J16" s="1">
        <v>1</v>
      </c>
      <c r="K16" s="1">
        <v>1</v>
      </c>
      <c r="L16" s="1" t="s">
        <v>130</v>
      </c>
      <c r="M16" s="1">
        <v>0</v>
      </c>
      <c r="N16" s="1"/>
      <c r="O16" s="49">
        <v>0.6</v>
      </c>
      <c r="P16" s="49"/>
      <c r="Q16" s="50">
        <f t="shared" si="0"/>
        <v>0.7</v>
      </c>
      <c r="R16" s="50"/>
      <c r="S16" s="49">
        <f t="shared" si="2"/>
        <v>0.79999999999999993</v>
      </c>
      <c r="T16" s="50"/>
      <c r="U16" s="50">
        <f t="shared" si="3"/>
        <v>0.89999999999999991</v>
      </c>
      <c r="V16" s="50"/>
      <c r="W16" s="49">
        <f t="shared" si="4"/>
        <v>0.99999999999999989</v>
      </c>
      <c r="X16" s="50"/>
      <c r="Y16" s="1"/>
      <c r="Z16" s="1" t="s">
        <v>358</v>
      </c>
    </row>
    <row r="17" spans="1:26" s="23" customFormat="1">
      <c r="A17" s="55"/>
      <c r="B17" s="1" t="s">
        <v>340</v>
      </c>
      <c r="C17" s="1" t="s">
        <v>347</v>
      </c>
      <c r="D17" s="1">
        <v>4</v>
      </c>
      <c r="E17" s="1" t="s">
        <v>354</v>
      </c>
      <c r="F17" s="27" t="s">
        <v>540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/>
      <c r="M17" s="1"/>
      <c r="N17" s="1"/>
      <c r="O17" s="65">
        <v>0.7</v>
      </c>
      <c r="P17" s="49">
        <v>0.05</v>
      </c>
      <c r="Q17" s="50">
        <f t="shared" si="0"/>
        <v>0.79999999999999993</v>
      </c>
      <c r="R17" s="50">
        <f t="shared" si="1"/>
        <v>0.15000000000000002</v>
      </c>
      <c r="S17" s="49">
        <f t="shared" si="2"/>
        <v>0.89999999999999991</v>
      </c>
      <c r="T17" s="50">
        <f t="shared" si="1"/>
        <v>0.25</v>
      </c>
      <c r="U17" s="50">
        <f t="shared" si="3"/>
        <v>0.99999999999999989</v>
      </c>
      <c r="V17" s="50">
        <f t="shared" si="1"/>
        <v>0.35</v>
      </c>
      <c r="W17" s="49">
        <f t="shared" si="4"/>
        <v>1.0999999999999999</v>
      </c>
      <c r="X17" s="50">
        <f t="shared" si="1"/>
        <v>0.44999999999999996</v>
      </c>
      <c r="Y17" s="1"/>
      <c r="Z17" s="1" t="s">
        <v>358</v>
      </c>
    </row>
    <row r="18" spans="1:26" s="23" customFormat="1">
      <c r="A18" s="55"/>
      <c r="B18" s="1" t="s">
        <v>341</v>
      </c>
      <c r="C18" s="1" t="s">
        <v>347</v>
      </c>
      <c r="D18" s="1">
        <v>5</v>
      </c>
      <c r="E18" s="1" t="s">
        <v>349</v>
      </c>
      <c r="F18" s="27" t="s">
        <v>536</v>
      </c>
      <c r="G18" s="1">
        <v>0</v>
      </c>
      <c r="H18" s="1">
        <v>0</v>
      </c>
      <c r="I18" s="1">
        <v>1</v>
      </c>
      <c r="J18" s="1">
        <v>1</v>
      </c>
      <c r="K18" s="1">
        <v>0</v>
      </c>
      <c r="L18" s="1"/>
      <c r="M18" s="1"/>
      <c r="N18" s="1"/>
      <c r="O18" s="49">
        <v>1.2</v>
      </c>
      <c r="P18" s="49"/>
      <c r="Q18" s="50">
        <f t="shared" si="0"/>
        <v>1.3</v>
      </c>
      <c r="R18" s="50"/>
      <c r="S18" s="49">
        <f t="shared" si="2"/>
        <v>1.4000000000000001</v>
      </c>
      <c r="T18" s="50"/>
      <c r="U18" s="50">
        <f t="shared" si="3"/>
        <v>1.5000000000000002</v>
      </c>
      <c r="V18" s="50"/>
      <c r="W18" s="49">
        <f t="shared" si="4"/>
        <v>1.6000000000000003</v>
      </c>
      <c r="X18" s="50"/>
      <c r="Y18" s="1" t="s">
        <v>337</v>
      </c>
      <c r="Z18" s="1" t="s">
        <v>356</v>
      </c>
    </row>
    <row r="19" spans="1:26" s="23" customFormat="1">
      <c r="A19" s="55"/>
      <c r="B19" s="1" t="s">
        <v>342</v>
      </c>
      <c r="C19" s="1" t="s">
        <v>347</v>
      </c>
      <c r="D19" s="1">
        <v>6</v>
      </c>
      <c r="E19" s="1" t="s">
        <v>351</v>
      </c>
      <c r="F19" s="27" t="s">
        <v>538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 t="s">
        <v>415</v>
      </c>
      <c r="M19" s="1">
        <v>1</v>
      </c>
      <c r="N19" s="1">
        <v>1</v>
      </c>
      <c r="O19" s="49">
        <v>1</v>
      </c>
      <c r="P19" s="49">
        <v>0.4</v>
      </c>
      <c r="Q19" s="50">
        <f t="shared" si="0"/>
        <v>1.1000000000000001</v>
      </c>
      <c r="R19" s="50">
        <f t="shared" si="1"/>
        <v>0.5</v>
      </c>
      <c r="S19" s="49">
        <f t="shared" si="2"/>
        <v>1.2000000000000002</v>
      </c>
      <c r="T19" s="50">
        <f t="shared" si="1"/>
        <v>0.6</v>
      </c>
      <c r="U19" s="50">
        <f t="shared" si="3"/>
        <v>1.3000000000000003</v>
      </c>
      <c r="V19" s="50">
        <f t="shared" si="1"/>
        <v>0.7</v>
      </c>
      <c r="W19" s="49">
        <f t="shared" si="4"/>
        <v>1.4000000000000004</v>
      </c>
      <c r="X19" s="50">
        <f t="shared" si="1"/>
        <v>0.79999999999999993</v>
      </c>
      <c r="Y19" s="1" t="s">
        <v>338</v>
      </c>
      <c r="Z19" s="1" t="s">
        <v>357</v>
      </c>
    </row>
    <row r="20" spans="1:26" s="23" customFormat="1">
      <c r="A20" s="55"/>
      <c r="B20" s="1" t="s">
        <v>344</v>
      </c>
      <c r="C20" s="1" t="s">
        <v>347</v>
      </c>
      <c r="D20" s="1">
        <v>7</v>
      </c>
      <c r="E20" s="1" t="s">
        <v>353</v>
      </c>
      <c r="F20" s="27" t="s">
        <v>539</v>
      </c>
      <c r="G20" s="1">
        <v>0</v>
      </c>
      <c r="H20" s="1">
        <v>0</v>
      </c>
      <c r="I20" s="1">
        <v>1</v>
      </c>
      <c r="J20" s="1">
        <v>1</v>
      </c>
      <c r="K20" s="1">
        <v>1</v>
      </c>
      <c r="L20" s="1" t="s">
        <v>130</v>
      </c>
      <c r="M20" s="1"/>
      <c r="N20" s="1"/>
      <c r="O20" s="49">
        <v>0.7</v>
      </c>
      <c r="P20" s="49"/>
      <c r="Q20" s="50">
        <f t="shared" si="0"/>
        <v>0.79999999999999993</v>
      </c>
      <c r="R20" s="50"/>
      <c r="S20" s="49">
        <f t="shared" si="2"/>
        <v>0.89999999999999991</v>
      </c>
      <c r="T20" s="50"/>
      <c r="U20" s="50">
        <f t="shared" si="3"/>
        <v>0.99999999999999989</v>
      </c>
      <c r="V20" s="50"/>
      <c r="W20" s="49">
        <f t="shared" si="4"/>
        <v>1.0999999999999999</v>
      </c>
      <c r="X20" s="50"/>
      <c r="Y20" s="1" t="s">
        <v>339</v>
      </c>
      <c r="Z20" s="1" t="s">
        <v>358</v>
      </c>
    </row>
    <row r="21" spans="1:26" s="23" customFormat="1">
      <c r="A21" s="55"/>
      <c r="B21" s="1" t="s">
        <v>346</v>
      </c>
      <c r="C21" s="1" t="s">
        <v>347</v>
      </c>
      <c r="D21" s="1">
        <v>8</v>
      </c>
      <c r="E21" s="1" t="s">
        <v>355</v>
      </c>
      <c r="F21" s="27" t="s">
        <v>540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/>
      <c r="M21" s="1"/>
      <c r="N21" s="1"/>
      <c r="O21" s="65">
        <v>1</v>
      </c>
      <c r="P21" s="49">
        <v>0.05</v>
      </c>
      <c r="Q21" s="50">
        <f t="shared" si="0"/>
        <v>1.1000000000000001</v>
      </c>
      <c r="R21" s="50">
        <f t="shared" si="1"/>
        <v>0.15000000000000002</v>
      </c>
      <c r="S21" s="49">
        <f t="shared" si="2"/>
        <v>1.2000000000000002</v>
      </c>
      <c r="T21" s="50">
        <f t="shared" si="1"/>
        <v>0.25</v>
      </c>
      <c r="U21" s="50">
        <f t="shared" si="3"/>
        <v>1.3000000000000003</v>
      </c>
      <c r="V21" s="50">
        <f t="shared" si="1"/>
        <v>0.35</v>
      </c>
      <c r="W21" s="49">
        <f t="shared" si="4"/>
        <v>1.4000000000000004</v>
      </c>
      <c r="X21" s="50">
        <f t="shared" si="1"/>
        <v>0.44999999999999996</v>
      </c>
      <c r="Y21" s="1" t="s">
        <v>340</v>
      </c>
      <c r="Z21" s="1" t="s">
        <v>358</v>
      </c>
    </row>
    <row r="22" spans="1:26" s="23" customFormat="1">
      <c r="A22" s="55"/>
      <c r="B22" s="1" t="s">
        <v>360</v>
      </c>
      <c r="C22" s="1" t="s">
        <v>375</v>
      </c>
      <c r="D22" s="1">
        <v>1</v>
      </c>
      <c r="E22" s="1" t="s">
        <v>379</v>
      </c>
      <c r="F22" s="27" t="s">
        <v>536</v>
      </c>
      <c r="G22" s="1">
        <v>0</v>
      </c>
      <c r="H22" s="1">
        <v>0</v>
      </c>
      <c r="I22" s="1">
        <v>1</v>
      </c>
      <c r="J22" s="1">
        <v>1</v>
      </c>
      <c r="K22" s="1">
        <v>0</v>
      </c>
      <c r="L22" s="1"/>
      <c r="M22" s="1"/>
      <c r="N22" s="1"/>
      <c r="O22" s="49">
        <v>1</v>
      </c>
      <c r="P22" s="49"/>
      <c r="Q22" s="50">
        <f t="shared" si="0"/>
        <v>1.1000000000000001</v>
      </c>
      <c r="R22" s="50"/>
      <c r="S22" s="49">
        <f t="shared" si="2"/>
        <v>1.2000000000000002</v>
      </c>
      <c r="T22" s="50"/>
      <c r="U22" s="50">
        <f t="shared" si="3"/>
        <v>1.3000000000000003</v>
      </c>
      <c r="V22" s="50"/>
      <c r="W22" s="49">
        <f t="shared" si="4"/>
        <v>1.4000000000000004</v>
      </c>
      <c r="X22" s="50"/>
      <c r="Y22" s="1"/>
      <c r="Z22" s="1" t="s">
        <v>376</v>
      </c>
    </row>
    <row r="23" spans="1:26" s="23" customFormat="1">
      <c r="A23" s="55"/>
      <c r="B23" s="1" t="s">
        <v>362</v>
      </c>
      <c r="C23" s="1" t="s">
        <v>375</v>
      </c>
      <c r="D23" s="1">
        <v>2</v>
      </c>
      <c r="E23" s="1" t="s">
        <v>380</v>
      </c>
      <c r="F23" s="27" t="s">
        <v>534</v>
      </c>
      <c r="G23" s="1">
        <v>0</v>
      </c>
      <c r="H23" s="1">
        <v>0</v>
      </c>
      <c r="I23" s="1">
        <v>1</v>
      </c>
      <c r="J23" s="1">
        <v>1</v>
      </c>
      <c r="K23" s="1">
        <v>0</v>
      </c>
      <c r="L23" s="1"/>
      <c r="M23" s="1"/>
      <c r="N23" s="1"/>
      <c r="O23" s="49">
        <v>1</v>
      </c>
      <c r="P23" s="49">
        <v>0.2</v>
      </c>
      <c r="Q23" s="50">
        <f t="shared" si="0"/>
        <v>1.1000000000000001</v>
      </c>
      <c r="R23" s="50">
        <f t="shared" si="1"/>
        <v>0.30000000000000004</v>
      </c>
      <c r="S23" s="49">
        <f t="shared" si="2"/>
        <v>1.2000000000000002</v>
      </c>
      <c r="T23" s="50">
        <f t="shared" si="1"/>
        <v>0.4</v>
      </c>
      <c r="U23" s="50">
        <f t="shared" si="3"/>
        <v>1.3000000000000003</v>
      </c>
      <c r="V23" s="50">
        <f t="shared" si="1"/>
        <v>0.5</v>
      </c>
      <c r="W23" s="49">
        <f t="shared" si="4"/>
        <v>1.4000000000000004</v>
      </c>
      <c r="X23" s="50">
        <f t="shared" si="1"/>
        <v>0.6</v>
      </c>
      <c r="Y23" s="1"/>
      <c r="Z23" s="1" t="s">
        <v>377</v>
      </c>
    </row>
    <row r="24" spans="1:26" s="23" customFormat="1">
      <c r="A24" s="55"/>
      <c r="B24" s="1" t="s">
        <v>364</v>
      </c>
      <c r="C24" s="1" t="s">
        <v>375</v>
      </c>
      <c r="D24" s="1">
        <v>3</v>
      </c>
      <c r="E24" s="1" t="s">
        <v>381</v>
      </c>
      <c r="F24" s="27" t="s">
        <v>541</v>
      </c>
      <c r="G24" s="1">
        <v>0</v>
      </c>
      <c r="H24" s="1">
        <v>0</v>
      </c>
      <c r="I24" s="1">
        <v>1</v>
      </c>
      <c r="J24" s="1">
        <v>1</v>
      </c>
      <c r="K24" s="1">
        <v>0</v>
      </c>
      <c r="L24" s="1" t="s">
        <v>131</v>
      </c>
      <c r="M24" s="1">
        <v>0</v>
      </c>
      <c r="N24" s="1"/>
      <c r="O24" s="49">
        <v>0.7</v>
      </c>
      <c r="P24" s="49">
        <v>0.7</v>
      </c>
      <c r="Q24" s="50">
        <f t="shared" si="0"/>
        <v>0.79999999999999993</v>
      </c>
      <c r="R24" s="50">
        <f t="shared" si="1"/>
        <v>0.79999999999999993</v>
      </c>
      <c r="S24" s="49">
        <f t="shared" si="2"/>
        <v>0.89999999999999991</v>
      </c>
      <c r="T24" s="50">
        <f t="shared" si="1"/>
        <v>0.89999999999999991</v>
      </c>
      <c r="U24" s="50">
        <f t="shared" si="3"/>
        <v>0.99999999999999989</v>
      </c>
      <c r="V24" s="50">
        <f t="shared" si="1"/>
        <v>0.99999999999999989</v>
      </c>
      <c r="W24" s="49">
        <f t="shared" si="4"/>
        <v>1.0999999999999999</v>
      </c>
      <c r="X24" s="50">
        <f t="shared" si="1"/>
        <v>1.0999999999999999</v>
      </c>
      <c r="Y24" s="1"/>
      <c r="Z24" s="1" t="s">
        <v>378</v>
      </c>
    </row>
    <row r="25" spans="1:26" s="23" customFormat="1">
      <c r="A25" s="55"/>
      <c r="B25" s="1" t="s">
        <v>366</v>
      </c>
      <c r="C25" s="1" t="s">
        <v>375</v>
      </c>
      <c r="D25" s="1">
        <v>4</v>
      </c>
      <c r="E25" s="1" t="s">
        <v>382</v>
      </c>
      <c r="F25" s="27" t="s">
        <v>542</v>
      </c>
      <c r="G25" s="1">
        <v>0</v>
      </c>
      <c r="H25" s="1">
        <v>0</v>
      </c>
      <c r="I25" s="1">
        <v>1</v>
      </c>
      <c r="J25" s="1">
        <v>1</v>
      </c>
      <c r="K25" s="1">
        <v>0</v>
      </c>
      <c r="L25" s="1"/>
      <c r="M25" s="1"/>
      <c r="N25" s="1"/>
      <c r="O25" s="49">
        <v>1</v>
      </c>
      <c r="P25" s="49">
        <v>0.1</v>
      </c>
      <c r="Q25" s="50">
        <f t="shared" si="0"/>
        <v>1.1000000000000001</v>
      </c>
      <c r="R25" s="50">
        <f t="shared" si="1"/>
        <v>0.2</v>
      </c>
      <c r="S25" s="49">
        <f t="shared" si="2"/>
        <v>1.2000000000000002</v>
      </c>
      <c r="T25" s="50">
        <f t="shared" si="1"/>
        <v>0.30000000000000004</v>
      </c>
      <c r="U25" s="50">
        <f t="shared" si="3"/>
        <v>1.3000000000000003</v>
      </c>
      <c r="V25" s="50">
        <f t="shared" si="1"/>
        <v>0.4</v>
      </c>
      <c r="W25" s="49">
        <f t="shared" si="4"/>
        <v>1.4000000000000004</v>
      </c>
      <c r="X25" s="50">
        <f t="shared" si="1"/>
        <v>0.5</v>
      </c>
      <c r="Y25" s="1"/>
      <c r="Z25" s="1" t="s">
        <v>376</v>
      </c>
    </row>
    <row r="26" spans="1:26" s="23" customFormat="1">
      <c r="A26" s="55"/>
      <c r="B26" s="1" t="s">
        <v>368</v>
      </c>
      <c r="C26" s="1" t="s">
        <v>375</v>
      </c>
      <c r="D26" s="1">
        <v>5</v>
      </c>
      <c r="E26" s="1" t="s">
        <v>383</v>
      </c>
      <c r="F26" s="27" t="s">
        <v>536</v>
      </c>
      <c r="G26" s="1">
        <v>0</v>
      </c>
      <c r="H26" s="1">
        <v>0</v>
      </c>
      <c r="I26" s="1">
        <v>1</v>
      </c>
      <c r="J26" s="1">
        <v>1</v>
      </c>
      <c r="K26" s="1">
        <v>0</v>
      </c>
      <c r="L26" s="1"/>
      <c r="M26" s="1"/>
      <c r="N26" s="1"/>
      <c r="O26" s="49">
        <v>1.2</v>
      </c>
      <c r="P26" s="49"/>
      <c r="Q26" s="50">
        <f t="shared" si="0"/>
        <v>1.3</v>
      </c>
      <c r="R26" s="50"/>
      <c r="S26" s="49">
        <f t="shared" si="2"/>
        <v>1.4000000000000001</v>
      </c>
      <c r="T26" s="50"/>
      <c r="U26" s="50">
        <f t="shared" si="3"/>
        <v>1.5000000000000002</v>
      </c>
      <c r="V26" s="50"/>
      <c r="W26" s="49">
        <f t="shared" si="4"/>
        <v>1.6000000000000003</v>
      </c>
      <c r="X26" s="50"/>
      <c r="Y26" s="1" t="s">
        <v>360</v>
      </c>
      <c r="Z26" s="1" t="s">
        <v>376</v>
      </c>
    </row>
    <row r="27" spans="1:26" s="23" customFormat="1">
      <c r="A27" s="55"/>
      <c r="B27" s="1" t="s">
        <v>370</v>
      </c>
      <c r="C27" s="1" t="s">
        <v>375</v>
      </c>
      <c r="D27" s="1">
        <v>6</v>
      </c>
      <c r="E27" s="1" t="s">
        <v>384</v>
      </c>
      <c r="F27" s="27" t="s">
        <v>534</v>
      </c>
      <c r="G27" s="1">
        <v>0</v>
      </c>
      <c r="H27" s="1">
        <v>0</v>
      </c>
      <c r="I27" s="1">
        <v>1</v>
      </c>
      <c r="J27" s="1">
        <v>1</v>
      </c>
      <c r="K27" s="1">
        <v>0</v>
      </c>
      <c r="L27" s="1"/>
      <c r="M27" s="1"/>
      <c r="N27" s="1"/>
      <c r="O27" s="49">
        <v>1.2</v>
      </c>
      <c r="P27" s="49">
        <v>0.3</v>
      </c>
      <c r="Q27" s="50">
        <f t="shared" si="0"/>
        <v>1.3</v>
      </c>
      <c r="R27" s="50">
        <f t="shared" si="1"/>
        <v>0.4</v>
      </c>
      <c r="S27" s="49">
        <f t="shared" si="2"/>
        <v>1.4000000000000001</v>
      </c>
      <c r="T27" s="50">
        <f t="shared" si="1"/>
        <v>0.5</v>
      </c>
      <c r="U27" s="50">
        <f t="shared" si="3"/>
        <v>1.5000000000000002</v>
      </c>
      <c r="V27" s="50">
        <f t="shared" si="1"/>
        <v>0.6</v>
      </c>
      <c r="W27" s="49">
        <f t="shared" si="4"/>
        <v>1.6000000000000003</v>
      </c>
      <c r="X27" s="50">
        <f t="shared" si="1"/>
        <v>0.7</v>
      </c>
      <c r="Y27" s="1" t="s">
        <v>362</v>
      </c>
      <c r="Z27" s="1" t="s">
        <v>377</v>
      </c>
    </row>
    <row r="28" spans="1:26" s="23" customFormat="1">
      <c r="A28" s="55"/>
      <c r="B28" s="1" t="s">
        <v>372</v>
      </c>
      <c r="C28" s="1" t="s">
        <v>375</v>
      </c>
      <c r="D28" s="1">
        <v>7</v>
      </c>
      <c r="E28" s="1" t="s">
        <v>385</v>
      </c>
      <c r="F28" s="27" t="s">
        <v>541</v>
      </c>
      <c r="G28" s="1">
        <v>0</v>
      </c>
      <c r="H28" s="1">
        <v>0</v>
      </c>
      <c r="I28" s="1">
        <v>1</v>
      </c>
      <c r="J28" s="1">
        <v>1</v>
      </c>
      <c r="K28" s="1">
        <v>0</v>
      </c>
      <c r="L28" s="1" t="s">
        <v>131</v>
      </c>
      <c r="M28" s="1">
        <v>0</v>
      </c>
      <c r="N28" s="1"/>
      <c r="O28" s="49">
        <v>0.9</v>
      </c>
      <c r="P28" s="49">
        <v>0.9</v>
      </c>
      <c r="Q28" s="50">
        <f t="shared" si="0"/>
        <v>1</v>
      </c>
      <c r="R28" s="50">
        <f t="shared" si="1"/>
        <v>1</v>
      </c>
      <c r="S28" s="49">
        <f t="shared" si="2"/>
        <v>1.1000000000000001</v>
      </c>
      <c r="T28" s="50">
        <f t="shared" si="1"/>
        <v>1.1000000000000001</v>
      </c>
      <c r="U28" s="50">
        <f t="shared" si="3"/>
        <v>1.2000000000000002</v>
      </c>
      <c r="V28" s="50">
        <f t="shared" si="1"/>
        <v>1.2000000000000002</v>
      </c>
      <c r="W28" s="49">
        <f t="shared" si="4"/>
        <v>1.3000000000000003</v>
      </c>
      <c r="X28" s="50">
        <f t="shared" si="1"/>
        <v>1.3000000000000003</v>
      </c>
      <c r="Y28" s="1" t="s">
        <v>364</v>
      </c>
      <c r="Z28" s="1" t="s">
        <v>378</v>
      </c>
    </row>
    <row r="29" spans="1:26" s="23" customFormat="1">
      <c r="A29" s="55"/>
      <c r="B29" s="1" t="s">
        <v>374</v>
      </c>
      <c r="C29" s="1" t="s">
        <v>375</v>
      </c>
      <c r="D29" s="1">
        <v>8</v>
      </c>
      <c r="E29" s="1" t="s">
        <v>386</v>
      </c>
      <c r="F29" s="27" t="s">
        <v>542</v>
      </c>
      <c r="G29" s="1">
        <v>0</v>
      </c>
      <c r="H29" s="1">
        <v>0</v>
      </c>
      <c r="I29" s="1">
        <v>1</v>
      </c>
      <c r="J29" s="1">
        <v>1</v>
      </c>
      <c r="K29" s="1">
        <v>0</v>
      </c>
      <c r="L29" s="1"/>
      <c r="M29" s="1"/>
      <c r="N29" s="1"/>
      <c r="O29" s="49">
        <v>1.2</v>
      </c>
      <c r="P29" s="49">
        <v>0.15</v>
      </c>
      <c r="Q29" s="50">
        <f t="shared" si="0"/>
        <v>1.3</v>
      </c>
      <c r="R29" s="50">
        <f t="shared" si="1"/>
        <v>0.25</v>
      </c>
      <c r="S29" s="49">
        <f t="shared" si="2"/>
        <v>1.4000000000000001</v>
      </c>
      <c r="T29" s="50">
        <f t="shared" si="1"/>
        <v>0.35</v>
      </c>
      <c r="U29" s="50">
        <f t="shared" si="3"/>
        <v>1.5000000000000002</v>
      </c>
      <c r="V29" s="50">
        <f t="shared" si="1"/>
        <v>0.44999999999999996</v>
      </c>
      <c r="W29" s="49">
        <f t="shared" si="4"/>
        <v>1.6000000000000003</v>
      </c>
      <c r="X29" s="50">
        <f t="shared" si="1"/>
        <v>0.54999999999999993</v>
      </c>
      <c r="Y29" s="1" t="s">
        <v>366</v>
      </c>
      <c r="Z29" s="1" t="s">
        <v>376</v>
      </c>
    </row>
    <row r="30" spans="1:26" s="23" customFormat="1">
      <c r="A30" s="55"/>
      <c r="B30" s="1" t="s">
        <v>388</v>
      </c>
      <c r="C30" s="1" t="s">
        <v>406</v>
      </c>
      <c r="D30" s="1">
        <v>1</v>
      </c>
      <c r="E30" s="1" t="s">
        <v>407</v>
      </c>
      <c r="F30" s="27" t="s">
        <v>543</v>
      </c>
      <c r="G30" s="1">
        <v>0</v>
      </c>
      <c r="H30" s="1">
        <v>1</v>
      </c>
      <c r="I30" s="1">
        <v>1</v>
      </c>
      <c r="J30" s="1">
        <v>1</v>
      </c>
      <c r="K30" s="1">
        <v>0</v>
      </c>
      <c r="L30" s="1"/>
      <c r="M30" s="1"/>
      <c r="N30" s="1"/>
      <c r="O30" s="49">
        <v>0.5</v>
      </c>
      <c r="P30" s="49"/>
      <c r="Q30" s="50">
        <f t="shared" si="0"/>
        <v>0.6</v>
      </c>
      <c r="R30" s="50"/>
      <c r="S30" s="49">
        <f t="shared" si="2"/>
        <v>0.7</v>
      </c>
      <c r="T30" s="50"/>
      <c r="U30" s="50">
        <f t="shared" si="3"/>
        <v>0.79999999999999993</v>
      </c>
      <c r="V30" s="50"/>
      <c r="W30" s="49">
        <f t="shared" si="4"/>
        <v>0.89999999999999991</v>
      </c>
      <c r="X30" s="50"/>
      <c r="Y30" s="1"/>
      <c r="Z30" s="1" t="s">
        <v>403</v>
      </c>
    </row>
    <row r="31" spans="1:26" s="23" customFormat="1">
      <c r="A31" s="55"/>
      <c r="B31" s="1" t="s">
        <v>390</v>
      </c>
      <c r="C31" s="1" t="s">
        <v>406</v>
      </c>
      <c r="D31" s="1">
        <v>2</v>
      </c>
      <c r="E31" s="1" t="s">
        <v>408</v>
      </c>
      <c r="F31" s="27" t="s">
        <v>544</v>
      </c>
      <c r="G31" s="1">
        <v>0</v>
      </c>
      <c r="H31" s="1">
        <v>0</v>
      </c>
      <c r="I31" s="1">
        <v>1</v>
      </c>
      <c r="J31" s="1">
        <v>1</v>
      </c>
      <c r="K31" s="1">
        <v>0</v>
      </c>
      <c r="L31" s="1"/>
      <c r="M31" s="1"/>
      <c r="N31" s="1"/>
      <c r="O31" s="49">
        <v>0.8</v>
      </c>
      <c r="P31" s="49"/>
      <c r="Q31" s="50">
        <f t="shared" si="0"/>
        <v>0.9</v>
      </c>
      <c r="R31" s="50"/>
      <c r="S31" s="49">
        <f t="shared" si="2"/>
        <v>1</v>
      </c>
      <c r="T31" s="50"/>
      <c r="U31" s="50">
        <f t="shared" si="3"/>
        <v>1.1000000000000001</v>
      </c>
      <c r="V31" s="50"/>
      <c r="W31" s="49">
        <f t="shared" si="4"/>
        <v>1.2000000000000002</v>
      </c>
      <c r="X31" s="50"/>
      <c r="Y31" s="1"/>
      <c r="Z31" s="1" t="s">
        <v>404</v>
      </c>
    </row>
    <row r="32" spans="1:26" s="23" customFormat="1">
      <c r="A32" s="55"/>
      <c r="B32" s="1" t="s">
        <v>392</v>
      </c>
      <c r="C32" s="1" t="s">
        <v>406</v>
      </c>
      <c r="D32" s="1">
        <v>3</v>
      </c>
      <c r="E32" s="27" t="s">
        <v>409</v>
      </c>
      <c r="F32" s="27" t="s">
        <v>551</v>
      </c>
      <c r="G32" s="1">
        <v>0</v>
      </c>
      <c r="H32" s="1">
        <v>1</v>
      </c>
      <c r="I32" s="1">
        <v>1</v>
      </c>
      <c r="J32" s="1">
        <v>1</v>
      </c>
      <c r="K32" s="27">
        <v>2</v>
      </c>
      <c r="L32" s="27"/>
      <c r="M32" s="1">
        <v>1</v>
      </c>
      <c r="N32" s="1">
        <v>1</v>
      </c>
      <c r="O32" s="65">
        <v>0.25</v>
      </c>
      <c r="P32" s="65">
        <v>0.25</v>
      </c>
      <c r="Q32" s="50">
        <f t="shared" si="0"/>
        <v>0.35</v>
      </c>
      <c r="R32" s="50">
        <f t="shared" si="1"/>
        <v>0.35</v>
      </c>
      <c r="S32" s="49">
        <f t="shared" si="2"/>
        <v>0.44999999999999996</v>
      </c>
      <c r="T32" s="50">
        <f t="shared" si="1"/>
        <v>0.44999999999999996</v>
      </c>
      <c r="U32" s="50">
        <f t="shared" si="3"/>
        <v>0.54999999999999993</v>
      </c>
      <c r="V32" s="50">
        <f t="shared" si="1"/>
        <v>0.54999999999999993</v>
      </c>
      <c r="W32" s="49">
        <f t="shared" si="4"/>
        <v>0.64999999999999991</v>
      </c>
      <c r="X32" s="50">
        <f t="shared" si="1"/>
        <v>0.64999999999999991</v>
      </c>
      <c r="Y32" s="1"/>
      <c r="Z32" s="1" t="s">
        <v>405</v>
      </c>
    </row>
    <row r="33" spans="1:26" s="23" customFormat="1" ht="51">
      <c r="A33" s="55"/>
      <c r="B33" s="1" t="s">
        <v>394</v>
      </c>
      <c r="C33" s="1" t="s">
        <v>406</v>
      </c>
      <c r="D33" s="1">
        <v>4</v>
      </c>
      <c r="E33" s="1" t="s">
        <v>410</v>
      </c>
      <c r="F33" s="60" t="s">
        <v>545</v>
      </c>
      <c r="G33" s="1">
        <v>0</v>
      </c>
      <c r="H33" s="1">
        <v>2</v>
      </c>
      <c r="I33" s="1">
        <v>1</v>
      </c>
      <c r="J33" s="1">
        <v>1</v>
      </c>
      <c r="K33" s="1">
        <v>2</v>
      </c>
      <c r="L33" s="1"/>
      <c r="M33" s="1"/>
      <c r="N33" s="1"/>
      <c r="O33" s="65">
        <v>0.5</v>
      </c>
      <c r="P33" s="49">
        <v>0.2</v>
      </c>
      <c r="Q33" s="50">
        <f t="shared" si="0"/>
        <v>0.6</v>
      </c>
      <c r="R33" s="50">
        <f t="shared" si="1"/>
        <v>0.30000000000000004</v>
      </c>
      <c r="S33" s="49">
        <f t="shared" si="2"/>
        <v>0.7</v>
      </c>
      <c r="T33" s="50">
        <f t="shared" si="1"/>
        <v>0.4</v>
      </c>
      <c r="U33" s="50">
        <f t="shared" si="3"/>
        <v>0.79999999999999993</v>
      </c>
      <c r="V33" s="50">
        <f t="shared" si="1"/>
        <v>0.5</v>
      </c>
      <c r="W33" s="49">
        <f t="shared" si="4"/>
        <v>0.89999999999999991</v>
      </c>
      <c r="X33" s="50">
        <f t="shared" si="1"/>
        <v>0.6</v>
      </c>
      <c r="Y33" s="1"/>
      <c r="Z33" s="1" t="s">
        <v>403</v>
      </c>
    </row>
    <row r="34" spans="1:26" s="23" customFormat="1">
      <c r="A34" s="55"/>
      <c r="B34" s="1" t="s">
        <v>396</v>
      </c>
      <c r="C34" s="1" t="s">
        <v>406</v>
      </c>
      <c r="D34" s="1">
        <v>5</v>
      </c>
      <c r="E34" s="1" t="s">
        <v>411</v>
      </c>
      <c r="F34" s="27" t="s">
        <v>543</v>
      </c>
      <c r="G34" s="1">
        <v>0</v>
      </c>
      <c r="H34" s="1">
        <v>1</v>
      </c>
      <c r="I34" s="1">
        <v>1</v>
      </c>
      <c r="J34" s="1">
        <v>1</v>
      </c>
      <c r="K34" s="1">
        <v>0</v>
      </c>
      <c r="L34" s="1"/>
      <c r="M34" s="1"/>
      <c r="N34" s="1"/>
      <c r="O34" s="49">
        <v>0.7</v>
      </c>
      <c r="P34" s="49"/>
      <c r="Q34" s="50">
        <f t="shared" si="0"/>
        <v>0.79999999999999993</v>
      </c>
      <c r="R34" s="50"/>
      <c r="S34" s="49">
        <f t="shared" si="2"/>
        <v>0.89999999999999991</v>
      </c>
      <c r="T34" s="50"/>
      <c r="U34" s="50">
        <f t="shared" si="3"/>
        <v>0.99999999999999989</v>
      </c>
      <c r="V34" s="50"/>
      <c r="W34" s="49">
        <f t="shared" si="4"/>
        <v>1.0999999999999999</v>
      </c>
      <c r="X34" s="50"/>
      <c r="Y34" s="1" t="s">
        <v>388</v>
      </c>
      <c r="Z34" s="1" t="s">
        <v>403</v>
      </c>
    </row>
    <row r="35" spans="1:26" s="23" customFormat="1">
      <c r="A35" s="55"/>
      <c r="B35" s="1" t="s">
        <v>398</v>
      </c>
      <c r="C35" s="1" t="s">
        <v>406</v>
      </c>
      <c r="D35" s="1">
        <v>6</v>
      </c>
      <c r="E35" s="1" t="s">
        <v>412</v>
      </c>
      <c r="F35" s="27" t="s">
        <v>544</v>
      </c>
      <c r="G35" s="1">
        <v>0</v>
      </c>
      <c r="H35" s="1">
        <v>0</v>
      </c>
      <c r="I35" s="1">
        <v>1</v>
      </c>
      <c r="J35" s="1">
        <v>1</v>
      </c>
      <c r="K35" s="1">
        <v>0</v>
      </c>
      <c r="L35" s="1"/>
      <c r="M35" s="1"/>
      <c r="N35" s="1"/>
      <c r="O35" s="49">
        <v>1</v>
      </c>
      <c r="P35" s="49"/>
      <c r="Q35" s="50">
        <f t="shared" si="0"/>
        <v>1.1000000000000001</v>
      </c>
      <c r="R35" s="50"/>
      <c r="S35" s="49">
        <f t="shared" si="2"/>
        <v>1.2000000000000002</v>
      </c>
      <c r="T35" s="50"/>
      <c r="U35" s="50">
        <f t="shared" si="3"/>
        <v>1.3000000000000003</v>
      </c>
      <c r="V35" s="50"/>
      <c r="W35" s="49">
        <f t="shared" si="4"/>
        <v>1.4000000000000004</v>
      </c>
      <c r="X35" s="50"/>
      <c r="Y35" s="1" t="s">
        <v>390</v>
      </c>
      <c r="Z35" s="1" t="s">
        <v>404</v>
      </c>
    </row>
    <row r="36" spans="1:26" s="23" customFormat="1">
      <c r="A36" s="55"/>
      <c r="B36" s="1" t="s">
        <v>400</v>
      </c>
      <c r="C36" s="1" t="s">
        <v>406</v>
      </c>
      <c r="D36" s="1">
        <v>7</v>
      </c>
      <c r="E36" s="27" t="s">
        <v>413</v>
      </c>
      <c r="F36" s="27" t="s">
        <v>551</v>
      </c>
      <c r="G36" s="1">
        <v>0</v>
      </c>
      <c r="H36" s="1">
        <v>1</v>
      </c>
      <c r="I36" s="1">
        <v>1</v>
      </c>
      <c r="J36" s="1">
        <v>1</v>
      </c>
      <c r="K36" s="27">
        <v>2</v>
      </c>
      <c r="L36" s="27"/>
      <c r="M36" s="1">
        <v>1</v>
      </c>
      <c r="N36" s="1">
        <v>1</v>
      </c>
      <c r="O36" s="49">
        <v>0.5</v>
      </c>
      <c r="P36" s="49">
        <v>0.5</v>
      </c>
      <c r="Q36" s="50">
        <f t="shared" si="0"/>
        <v>0.6</v>
      </c>
      <c r="R36" s="50">
        <f t="shared" si="1"/>
        <v>0.6</v>
      </c>
      <c r="S36" s="49">
        <f t="shared" si="2"/>
        <v>0.7</v>
      </c>
      <c r="T36" s="50">
        <f t="shared" si="1"/>
        <v>0.7</v>
      </c>
      <c r="U36" s="50">
        <f t="shared" si="3"/>
        <v>0.79999999999999993</v>
      </c>
      <c r="V36" s="50">
        <f t="shared" si="1"/>
        <v>0.79999999999999993</v>
      </c>
      <c r="W36" s="49">
        <f t="shared" si="4"/>
        <v>0.89999999999999991</v>
      </c>
      <c r="X36" s="50">
        <f t="shared" si="1"/>
        <v>0.89999999999999991</v>
      </c>
      <c r="Y36" s="1" t="s">
        <v>392</v>
      </c>
      <c r="Z36" s="1" t="s">
        <v>405</v>
      </c>
    </row>
    <row r="37" spans="1:26" s="23" customFormat="1" ht="51">
      <c r="A37" s="55"/>
      <c r="B37" s="1" t="s">
        <v>402</v>
      </c>
      <c r="C37" s="1" t="s">
        <v>406</v>
      </c>
      <c r="D37" s="1">
        <v>8</v>
      </c>
      <c r="E37" s="1" t="s">
        <v>414</v>
      </c>
      <c r="F37" s="60" t="s">
        <v>545</v>
      </c>
      <c r="G37" s="1">
        <v>0</v>
      </c>
      <c r="H37" s="1">
        <v>2</v>
      </c>
      <c r="I37" s="1">
        <v>1</v>
      </c>
      <c r="J37" s="1">
        <v>1</v>
      </c>
      <c r="K37" s="1">
        <v>2</v>
      </c>
      <c r="L37" s="1"/>
      <c r="M37" s="1"/>
      <c r="N37" s="1"/>
      <c r="O37" s="65">
        <v>0.7</v>
      </c>
      <c r="P37" s="49">
        <v>0.3</v>
      </c>
      <c r="Q37" s="50">
        <f t="shared" si="0"/>
        <v>0.79999999999999993</v>
      </c>
      <c r="R37" s="50">
        <f t="shared" si="1"/>
        <v>0.4</v>
      </c>
      <c r="S37" s="49">
        <f t="shared" si="2"/>
        <v>0.89999999999999991</v>
      </c>
      <c r="T37" s="50">
        <f t="shared" si="1"/>
        <v>0.5</v>
      </c>
      <c r="U37" s="50">
        <f t="shared" si="3"/>
        <v>0.99999999999999989</v>
      </c>
      <c r="V37" s="50">
        <f t="shared" si="1"/>
        <v>0.6</v>
      </c>
      <c r="W37" s="49">
        <f t="shared" si="4"/>
        <v>1.0999999999999999</v>
      </c>
      <c r="X37" s="50">
        <f t="shared" si="1"/>
        <v>0.7</v>
      </c>
      <c r="Y37" s="1" t="s">
        <v>394</v>
      </c>
      <c r="Z37" s="1" t="s">
        <v>403</v>
      </c>
    </row>
    <row r="39" spans="1:26">
      <c r="A39" s="11" t="s">
        <v>180</v>
      </c>
      <c r="B39" s="11" t="s">
        <v>14</v>
      </c>
      <c r="C39" s="11" t="s">
        <v>29</v>
      </c>
      <c r="D39" s="11" t="s">
        <v>172</v>
      </c>
      <c r="E39" s="11" t="s">
        <v>10</v>
      </c>
      <c r="F39" s="11" t="s">
        <v>12</v>
      </c>
      <c r="G39" s="11" t="s">
        <v>114</v>
      </c>
      <c r="H39" s="11" t="s">
        <v>129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164</v>
      </c>
      <c r="P39" s="11" t="s">
        <v>165</v>
      </c>
      <c r="Q39" s="11" t="s">
        <v>166</v>
      </c>
      <c r="R39" s="11" t="s">
        <v>167</v>
      </c>
      <c r="S39" s="11" t="s">
        <v>168</v>
      </c>
      <c r="T39" s="11" t="s">
        <v>169</v>
      </c>
      <c r="U39" s="11" t="s">
        <v>170</v>
      </c>
      <c r="V39" s="11" t="s">
        <v>171</v>
      </c>
      <c r="W39" s="11" t="s">
        <v>220</v>
      </c>
      <c r="X39" s="11" t="s">
        <v>221</v>
      </c>
      <c r="Y39" s="1" t="s">
        <v>462</v>
      </c>
      <c r="Z39" s="34" t="s">
        <v>463</v>
      </c>
    </row>
    <row r="40" spans="1:26">
      <c r="A40" s="11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abSelected="1" zoomScaleNormal="100" workbookViewId="0"/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175</v>
      </c>
    </row>
    <row r="2" spans="1:44">
      <c r="B2" s="76" t="s">
        <v>210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</row>
    <row r="4" spans="1:44">
      <c r="A4" s="11" t="s">
        <v>176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177</v>
      </c>
      <c r="U4" s="10" t="s">
        <v>177</v>
      </c>
      <c r="V4" s="10" t="s">
        <v>177</v>
      </c>
      <c r="W4" s="10" t="s">
        <v>18</v>
      </c>
      <c r="X4" s="10" t="s">
        <v>19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177</v>
      </c>
      <c r="AJ4" s="10" t="s">
        <v>177</v>
      </c>
      <c r="AK4" s="10" t="s">
        <v>177</v>
      </c>
      <c r="AL4" s="10" t="s">
        <v>177</v>
      </c>
      <c r="AM4" s="10" t="s">
        <v>177</v>
      </c>
      <c r="AN4" s="10" t="s">
        <v>177</v>
      </c>
      <c r="AO4" s="10" t="s">
        <v>177</v>
      </c>
      <c r="AP4" s="10" t="s">
        <v>177</v>
      </c>
      <c r="AQ4" s="10" t="s">
        <v>177</v>
      </c>
      <c r="AR4" s="10" t="s">
        <v>177</v>
      </c>
    </row>
    <row r="5" spans="1:44" ht="34">
      <c r="A5" s="11" t="s">
        <v>178</v>
      </c>
      <c r="B5" s="13" t="s">
        <v>21</v>
      </c>
      <c r="C5" s="13" t="s">
        <v>16</v>
      </c>
      <c r="D5" s="13" t="s">
        <v>30</v>
      </c>
      <c r="E5" s="14" t="s">
        <v>147</v>
      </c>
      <c r="F5" s="14" t="s">
        <v>148</v>
      </c>
      <c r="G5" s="14" t="s">
        <v>149</v>
      </c>
      <c r="H5" s="14" t="s">
        <v>222</v>
      </c>
      <c r="I5" s="14" t="s">
        <v>223</v>
      </c>
      <c r="J5" s="14" t="s">
        <v>150</v>
      </c>
      <c r="K5" s="14" t="s">
        <v>151</v>
      </c>
      <c r="L5" s="14" t="s">
        <v>152</v>
      </c>
      <c r="M5" s="14" t="s">
        <v>226</v>
      </c>
      <c r="N5" s="14" t="s">
        <v>228</v>
      </c>
      <c r="O5" s="14" t="s">
        <v>153</v>
      </c>
      <c r="P5" s="14" t="s">
        <v>154</v>
      </c>
      <c r="Q5" s="14" t="s">
        <v>155</v>
      </c>
      <c r="R5" s="14" t="s">
        <v>230</v>
      </c>
      <c r="S5" s="14" t="s">
        <v>232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194</v>
      </c>
      <c r="AI5" s="14" t="s">
        <v>136</v>
      </c>
      <c r="AJ5" s="14" t="s">
        <v>137</v>
      </c>
      <c r="AK5" s="14" t="s">
        <v>139</v>
      </c>
      <c r="AL5" s="14" t="s">
        <v>141</v>
      </c>
      <c r="AM5" s="14" t="s">
        <v>144</v>
      </c>
      <c r="AN5" s="14" t="s">
        <v>143</v>
      </c>
      <c r="AO5" s="14" t="s">
        <v>234</v>
      </c>
      <c r="AP5" s="14" t="s">
        <v>235</v>
      </c>
      <c r="AQ5" s="14" t="s">
        <v>238</v>
      </c>
      <c r="AR5" s="14" t="s">
        <v>239</v>
      </c>
    </row>
    <row r="6" spans="1:44" ht="51">
      <c r="A6" s="11" t="s">
        <v>179</v>
      </c>
      <c r="B6" s="13" t="s">
        <v>292</v>
      </c>
      <c r="C6" s="13" t="s">
        <v>282</v>
      </c>
      <c r="D6" s="14" t="s">
        <v>287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297</v>
      </c>
      <c r="Y6" s="13" t="s">
        <v>302</v>
      </c>
      <c r="Z6" s="61" t="s">
        <v>546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>
      <c r="B7" s="13" t="s">
        <v>293</v>
      </c>
      <c r="C7" s="13" t="s">
        <v>283</v>
      </c>
      <c r="D7" s="14" t="s">
        <v>288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298</v>
      </c>
      <c r="Y7" s="13" t="s">
        <v>303</v>
      </c>
      <c r="Z7" s="61" t="s">
        <v>547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>
      <c r="B8" s="13" t="s">
        <v>294</v>
      </c>
      <c r="C8" s="13" t="s">
        <v>284</v>
      </c>
      <c r="D8" s="14" t="s">
        <v>289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299</v>
      </c>
      <c r="Y8" s="13" t="s">
        <v>304</v>
      </c>
      <c r="Z8" s="61" t="s">
        <v>549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38">
        <v>0.3</v>
      </c>
      <c r="AJ8" s="38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>
      <c r="B9" s="13" t="s">
        <v>295</v>
      </c>
      <c r="C9" s="13" t="s">
        <v>285</v>
      </c>
      <c r="D9" s="14" t="s">
        <v>290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300</v>
      </c>
      <c r="Y9" s="13" t="s">
        <v>305</v>
      </c>
      <c r="Z9" s="61" t="s">
        <v>548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38">
        <v>0.3</v>
      </c>
      <c r="AJ9" s="38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51">
      <c r="B10" s="13" t="s">
        <v>296</v>
      </c>
      <c r="C10" s="13" t="s">
        <v>286</v>
      </c>
      <c r="D10" s="14" t="s">
        <v>291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301</v>
      </c>
      <c r="Y10" s="13" t="s">
        <v>306</v>
      </c>
      <c r="Z10" s="61" t="s">
        <v>550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>
      <c r="A12" s="11" t="s">
        <v>180</v>
      </c>
    </row>
    <row r="13" spans="1:44" ht="102">
      <c r="A13" s="11" t="s">
        <v>175</v>
      </c>
      <c r="B13" s="3" t="s">
        <v>195</v>
      </c>
      <c r="C13" s="4" t="s">
        <v>196</v>
      </c>
      <c r="D13" s="4" t="s">
        <v>184</v>
      </c>
      <c r="E13" s="4" t="s">
        <v>197</v>
      </c>
      <c r="F13" s="4" t="s">
        <v>198</v>
      </c>
      <c r="G13" s="4" t="s">
        <v>199</v>
      </c>
      <c r="H13" s="4" t="s">
        <v>224</v>
      </c>
      <c r="I13" s="4" t="s">
        <v>225</v>
      </c>
      <c r="J13" s="4" t="s">
        <v>200</v>
      </c>
      <c r="K13" s="4" t="s">
        <v>201</v>
      </c>
      <c r="L13" s="4" t="s">
        <v>202</v>
      </c>
      <c r="M13" s="4" t="s">
        <v>227</v>
      </c>
      <c r="N13" s="4" t="s">
        <v>229</v>
      </c>
      <c r="O13" s="4" t="s">
        <v>203</v>
      </c>
      <c r="P13" s="4" t="s">
        <v>204</v>
      </c>
      <c r="Q13" s="4" t="s">
        <v>205</v>
      </c>
      <c r="R13" s="4" t="s">
        <v>231</v>
      </c>
      <c r="S13" s="4" t="s">
        <v>233</v>
      </c>
      <c r="T13" s="4" t="s">
        <v>206</v>
      </c>
      <c r="U13" s="4" t="s">
        <v>207</v>
      </c>
      <c r="V13" s="4" t="s">
        <v>208</v>
      </c>
      <c r="W13" s="4" t="s">
        <v>209</v>
      </c>
      <c r="X13" s="4" t="s">
        <v>212</v>
      </c>
      <c r="Y13" s="8" t="s">
        <v>213</v>
      </c>
      <c r="Z13" s="9" t="s">
        <v>214</v>
      </c>
      <c r="AA13" s="22" t="s">
        <v>114</v>
      </c>
      <c r="AB13" s="14" t="s">
        <v>307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135</v>
      </c>
      <c r="AJ13" s="14" t="s">
        <v>138</v>
      </c>
      <c r="AK13" s="14" t="s">
        <v>140</v>
      </c>
      <c r="AL13" s="14" t="s">
        <v>142</v>
      </c>
      <c r="AM13" s="14" t="s">
        <v>145</v>
      </c>
      <c r="AN13" s="14" t="s">
        <v>146</v>
      </c>
      <c r="AO13" s="14" t="s">
        <v>236</v>
      </c>
      <c r="AP13" s="14" t="s">
        <v>237</v>
      </c>
      <c r="AQ13" s="14" t="s">
        <v>240</v>
      </c>
      <c r="AR13" s="14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k2104200016</cp:lastModifiedBy>
  <dcterms:created xsi:type="dcterms:W3CDTF">2026-03-30T01:14:21Z</dcterms:created>
  <dcterms:modified xsi:type="dcterms:W3CDTF">2026-10-14T06:35:01Z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