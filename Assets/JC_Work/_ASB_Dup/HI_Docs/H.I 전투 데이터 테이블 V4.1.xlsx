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N:\개인\게임인재원 7기\Hero Influence\"/>
    </mc:Choice>
  </mc:AlternateContent>
  <xr:revisionPtr revIDLastSave="0" documentId="13_ncr:1_{79C3072B-A432-4F67-9517-ADD82A3BAC34}" xr6:coauthVersionLast="36" xr6:coauthVersionMax="36" xr10:uidLastSave="{00000000-0000-0000-0000-000000000000}"/>
  <bookViews>
    <workbookView xWindow="-120" yWindow="-120" windowWidth="38640" windowHeight="15720" tabRatio="759" xr2:uid="{B7614390-11AA-4CA0-8D0B-42C45BC335B4}"/>
  </bookViews>
  <sheets>
    <sheet name="문서 개요" sheetId="7" r:id="rId1"/>
    <sheet name="스테이터스" sheetId="8" r:id="rId2"/>
    <sheet name="성장 시스템" sheetId="5" r:id="rId3"/>
    <sheet name="필드 정의" sheetId="13" r:id="rId4"/>
    <sheet name="아군 유닛" sheetId="1" r:id="rId5"/>
    <sheet name="적군 유닛" sheetId="4" r:id="rId6"/>
    <sheet name="적군 부대 AI" sheetId="23" r:id="rId7"/>
    <sheet name="직업 스킬" sheetId="6" r:id="rId8"/>
    <sheet name="장비 시스템" sheetId="14" r:id="rId9"/>
    <sheet name="무기" sheetId="11" r:id="rId10"/>
    <sheet name="스탯 시뮬레이터" sheetId="22" r:id="rId11"/>
    <sheet name="전투 시뮬레이터" sheetId="19" r:id="rId12"/>
    <sheet name="랭크별 스킬" sheetId="18" r:id="rId13"/>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5" i="19" l="1"/>
  <c r="I8" i="22"/>
  <c r="J8" i="22"/>
  <c r="K8" i="22"/>
  <c r="L8" i="22"/>
  <c r="M8" i="22"/>
  <c r="N8" i="22"/>
  <c r="I9" i="22"/>
  <c r="J9" i="22"/>
  <c r="K9" i="22"/>
  <c r="L9" i="22"/>
  <c r="M9" i="22"/>
  <c r="N9" i="22"/>
  <c r="I10" i="22"/>
  <c r="J10" i="22"/>
  <c r="K10" i="22"/>
  <c r="L10" i="22"/>
  <c r="M10" i="22"/>
  <c r="N10" i="22"/>
  <c r="H10" i="22"/>
  <c r="H9" i="22"/>
  <c r="H8" i="22"/>
  <c r="G15" i="19"/>
  <c r="D20" i="19" s="1"/>
  <c r="I15" i="19"/>
  <c r="J15" i="19"/>
  <c r="K15" i="19"/>
  <c r="L15" i="19"/>
  <c r="M15" i="19"/>
  <c r="E14" i="22"/>
  <c r="F15" i="22"/>
  <c r="F16" i="22"/>
  <c r="F17" i="22"/>
  <c r="F8" i="22"/>
  <c r="F9" i="22"/>
  <c r="F10" i="22"/>
  <c r="F7" i="22"/>
  <c r="G8" i="22"/>
  <c r="G9" i="22"/>
  <c r="G10" i="22"/>
  <c r="G7" i="22"/>
  <c r="J42" i="5"/>
  <c r="D9" i="22" l="1"/>
  <c r="D16" i="22" s="1"/>
  <c r="D8" i="22"/>
  <c r="D15" i="22" s="1"/>
  <c r="D10" i="22"/>
  <c r="D17" i="22" s="1"/>
  <c r="C7" i="22"/>
  <c r="H7" i="22" l="1"/>
  <c r="I7" i="22"/>
  <c r="M7" i="22"/>
  <c r="J7" i="22"/>
  <c r="N7" i="22"/>
  <c r="K7" i="22"/>
  <c r="L7" i="22"/>
  <c r="C14" i="22"/>
  <c r="F14" i="22"/>
  <c r="D7" i="22"/>
  <c r="D14" i="22" s="1"/>
  <c r="G15" i="22"/>
  <c r="G16" i="22"/>
  <c r="G17" i="22"/>
  <c r="G14" i="22"/>
  <c r="E14" i="19" s="1"/>
  <c r="I14" i="22" l="1"/>
  <c r="H14" i="22"/>
  <c r="J14" i="22"/>
  <c r="L40" i="22"/>
  <c r="L39" i="22"/>
  <c r="L38" i="22"/>
  <c r="L37" i="22"/>
  <c r="M40" i="22"/>
  <c r="M39" i="22"/>
  <c r="M38" i="22"/>
  <c r="M37" i="22"/>
  <c r="G22" i="22"/>
  <c r="H37" i="22" s="1"/>
  <c r="F29" i="22"/>
  <c r="J23" i="22"/>
  <c r="K38" i="22" s="1"/>
  <c r="J24" i="22"/>
  <c r="K39" i="22" s="1"/>
  <c r="J25" i="22"/>
  <c r="K40" i="22" s="1"/>
  <c r="J22" i="22"/>
  <c r="K37" i="22" s="1"/>
  <c r="I23" i="22"/>
  <c r="J38" i="22" s="1"/>
  <c r="I24" i="22"/>
  <c r="J39" i="22" s="1"/>
  <c r="I25" i="22"/>
  <c r="J40" i="22" s="1"/>
  <c r="I22" i="22"/>
  <c r="J37" i="22" s="1"/>
  <c r="H23" i="22"/>
  <c r="I38" i="22" s="1"/>
  <c r="H24" i="22"/>
  <c r="I39" i="22" s="1"/>
  <c r="H25" i="22"/>
  <c r="I40" i="22" s="1"/>
  <c r="H22" i="22"/>
  <c r="I37" i="22" s="1"/>
  <c r="G23" i="22"/>
  <c r="H38" i="22" s="1"/>
  <c r="G24" i="22"/>
  <c r="H39" i="22" s="1"/>
  <c r="G25" i="22"/>
  <c r="H40" i="22" s="1"/>
  <c r="F23" i="22"/>
  <c r="F24" i="22"/>
  <c r="F25" i="22"/>
  <c r="F22" i="22"/>
  <c r="E23" i="22"/>
  <c r="E24" i="22"/>
  <c r="E25" i="22"/>
  <c r="E22" i="22"/>
  <c r="D23" i="22"/>
  <c r="D24" i="22"/>
  <c r="D25" i="22"/>
  <c r="D22" i="22"/>
  <c r="B3" i="18"/>
  <c r="B4" i="18"/>
  <c r="B5" i="18"/>
  <c r="B2" i="18"/>
  <c r="A3" i="18"/>
  <c r="L3" i="18" s="1"/>
  <c r="A4" i="18"/>
  <c r="L4" i="18" s="1"/>
  <c r="A5" i="18"/>
  <c r="L5" i="18" s="1"/>
  <c r="A2" i="18"/>
  <c r="L2" i="18" s="1"/>
  <c r="D40" i="22"/>
  <c r="C40" i="22"/>
  <c r="D39" i="22"/>
  <c r="C39" i="22"/>
  <c r="D38" i="22"/>
  <c r="C38" i="22"/>
  <c r="D37" i="22"/>
  <c r="C37" i="22"/>
  <c r="C29" i="22"/>
  <c r="D29" i="22"/>
  <c r="G29" i="22"/>
  <c r="I29" i="22" s="1"/>
  <c r="D32" i="22"/>
  <c r="D31" i="22"/>
  <c r="D30" i="22"/>
  <c r="G32" i="22"/>
  <c r="I32" i="22" s="1"/>
  <c r="G31" i="22"/>
  <c r="I31" i="22" s="1"/>
  <c r="G30" i="22"/>
  <c r="H30" i="22" s="1"/>
  <c r="N38" i="22" s="1"/>
  <c r="F32" i="22"/>
  <c r="F31" i="22"/>
  <c r="F30" i="22"/>
  <c r="C32" i="22"/>
  <c r="C31" i="22"/>
  <c r="C30" i="22"/>
  <c r="C17" i="22"/>
  <c r="C16" i="22"/>
  <c r="C15" i="22"/>
  <c r="H15" i="22" s="1"/>
  <c r="J14" i="19" l="1"/>
  <c r="K14" i="19"/>
  <c r="L14" i="19"/>
  <c r="M14" i="19"/>
  <c r="H17" i="22"/>
  <c r="E40" i="22" s="1"/>
  <c r="I17" i="22"/>
  <c r="F40" i="22" s="1"/>
  <c r="J17" i="22"/>
  <c r="G40" i="22" s="1"/>
  <c r="H16" i="22"/>
  <c r="E39" i="22" s="1"/>
  <c r="J16" i="22"/>
  <c r="G39" i="22" s="1"/>
  <c r="I16" i="22"/>
  <c r="F39" i="22" s="1"/>
  <c r="I15" i="22"/>
  <c r="F38" i="22" s="1"/>
  <c r="J15" i="22"/>
  <c r="G38" i="22" s="1"/>
  <c r="E38" i="22"/>
  <c r="H31" i="22"/>
  <c r="N39" i="22" s="1"/>
  <c r="I30" i="22"/>
  <c r="H32" i="22"/>
  <c r="N40" i="22" s="1"/>
  <c r="F37" i="22"/>
  <c r="H14" i="19" s="1"/>
  <c r="O14" i="19" s="1"/>
  <c r="G37" i="22"/>
  <c r="I14" i="19" s="1"/>
  <c r="O15" i="19" s="1"/>
  <c r="E37" i="22"/>
  <c r="H29" i="22"/>
  <c r="N37" i="22" s="1"/>
  <c r="O4" i="18"/>
  <c r="O5" i="18"/>
  <c r="N3" i="18"/>
  <c r="M2" i="18"/>
  <c r="J5" i="18" a="1"/>
  <c r="J4" i="18" a="1"/>
  <c r="J3" i="18" a="1"/>
  <c r="G14" i="19" l="1"/>
  <c r="N4" i="18"/>
  <c r="J3" i="18"/>
  <c r="H3" i="18" s="1"/>
  <c r="M4" i="18"/>
  <c r="J5" i="18"/>
  <c r="H5" i="18" s="1"/>
  <c r="M5" i="18"/>
  <c r="N5" i="18"/>
  <c r="M3" i="18"/>
  <c r="O3" i="18"/>
  <c r="O2" i="18"/>
  <c r="N2" i="18"/>
  <c r="J4" i="18"/>
  <c r="J2" i="18" a="1"/>
  <c r="J2" i="18" s="1"/>
  <c r="D21" i="19" l="1"/>
  <c r="D22" i="19" s="1"/>
  <c r="D23" i="19" s="1"/>
  <c r="D24" i="19" s="1"/>
  <c r="D25" i="19" s="1"/>
  <c r="D26" i="19" s="1"/>
  <c r="D27" i="19" s="1"/>
  <c r="D28" i="19" s="1"/>
  <c r="D29" i="19" s="1"/>
  <c r="D30" i="19" s="1"/>
  <c r="C20" i="19"/>
  <c r="C21" i="19" s="1"/>
  <c r="C22" i="19" s="1"/>
  <c r="C23" i="19" s="1"/>
  <c r="C24" i="19" s="1"/>
  <c r="C25" i="19" s="1"/>
  <c r="C26" i="19" s="1"/>
  <c r="C27" i="19" s="1"/>
  <c r="C28" i="19" s="1"/>
  <c r="C29" i="19" s="1"/>
  <c r="C30" i="19" s="1"/>
  <c r="E3" i="18"/>
  <c r="F3" i="18"/>
  <c r="G3" i="18"/>
  <c r="I3" i="18"/>
  <c r="C3" i="18"/>
  <c r="D3" i="18"/>
  <c r="E5" i="18"/>
  <c r="D5" i="18"/>
  <c r="G5" i="18"/>
  <c r="I5" i="18"/>
  <c r="C5" i="18"/>
  <c r="F5" i="18"/>
  <c r="H4" i="18"/>
  <c r="C4" i="18"/>
  <c r="D4" i="18"/>
  <c r="E4" i="18"/>
  <c r="F4" i="18"/>
  <c r="G4" i="18"/>
  <c r="I4" i="18"/>
  <c r="E2" i="18"/>
  <c r="F2" i="18"/>
  <c r="G2" i="18"/>
  <c r="H2" i="18"/>
  <c r="I2" i="18"/>
  <c r="D2" i="18"/>
  <c r="C2" i="18"/>
  <c r="D31" i="19" l="1"/>
  <c r="F39" i="5"/>
  <c r="G39" i="5" s="1"/>
  <c r="F36" i="5"/>
  <c r="G36" i="5" s="1"/>
  <c r="F33" i="5"/>
  <c r="G33" i="5" s="1"/>
  <c r="F30" i="5"/>
  <c r="G30" i="5" s="1"/>
  <c r="F27" i="5"/>
  <c r="G27" i="5" s="1"/>
  <c r="D28" i="5"/>
  <c r="D29" i="5" s="1"/>
  <c r="H29" i="5" l="1"/>
  <c r="H28" i="5"/>
  <c r="D30" i="5"/>
  <c r="H30" i="5" s="1"/>
  <c r="D31" i="5" l="1"/>
  <c r="H31" i="5" s="1"/>
  <c r="D32" i="5" l="1"/>
  <c r="H32" i="5" s="1"/>
  <c r="D33" i="5" l="1"/>
  <c r="H33" i="5" s="1"/>
  <c r="D34" i="5" l="1"/>
  <c r="H34" i="5" s="1"/>
  <c r="D35" i="5" l="1"/>
  <c r="D36" i="5" l="1"/>
  <c r="H35" i="5"/>
  <c r="D37" i="5" l="1"/>
  <c r="H36" i="5"/>
  <c r="D38" i="5" l="1"/>
  <c r="H37" i="5"/>
  <c r="D39" i="5" l="1"/>
  <c r="H38" i="5"/>
  <c r="D40" i="5" l="1"/>
  <c r="H39" i="5"/>
  <c r="D41" i="5" l="1"/>
  <c r="H41" i="5" s="1"/>
  <c r="H40" i="5"/>
  <c r="H42" i="5" l="1"/>
  <c r="C31" i="19" l="1"/>
</calcChain>
</file>

<file path=xl/sharedStrings.xml><?xml version="1.0" encoding="utf-8"?>
<sst xmlns="http://schemas.openxmlformats.org/spreadsheetml/2006/main" count="1427" uniqueCount="690">
  <si>
    <t>공격력</t>
    <phoneticPr fontId="4" type="noConversion"/>
  </si>
  <si>
    <t>Class</t>
    <phoneticPr fontId="4" type="noConversion"/>
  </si>
  <si>
    <t>CriticalRate</t>
    <phoneticPr fontId="4" type="noConversion"/>
  </si>
  <si>
    <t>Speed</t>
    <phoneticPr fontId="4" type="noConversion"/>
  </si>
  <si>
    <t>직업 스킬 계수</t>
    <phoneticPr fontId="4" type="noConversion"/>
  </si>
  <si>
    <t>스피드</t>
    <phoneticPr fontId="4" type="noConversion"/>
  </si>
  <si>
    <t>CounterRate</t>
    <phoneticPr fontId="4" type="noConversion"/>
  </si>
  <si>
    <t>회피율</t>
    <phoneticPr fontId="4" type="noConversion"/>
  </si>
  <si>
    <t>반격율</t>
    <phoneticPr fontId="4" type="noConversion"/>
  </si>
  <si>
    <t>치명타율</t>
    <phoneticPr fontId="4" type="noConversion"/>
  </si>
  <si>
    <t>LowerMonster</t>
    <phoneticPr fontId="4" type="noConversion"/>
  </si>
  <si>
    <t>MiddleMonster</t>
    <phoneticPr fontId="4" type="noConversion"/>
  </si>
  <si>
    <t>AdvancedMonster</t>
    <phoneticPr fontId="4" type="noConversion"/>
  </si>
  <si>
    <t>도발 베기</t>
    <phoneticPr fontId="4" type="noConversion"/>
  </si>
  <si>
    <t>정밀 사격</t>
    <phoneticPr fontId="4" type="noConversion"/>
  </si>
  <si>
    <t>연속 사격</t>
    <phoneticPr fontId="4" type="noConversion"/>
  </si>
  <si>
    <t>스킬 효과</t>
    <phoneticPr fontId="4" type="noConversion"/>
  </si>
  <si>
    <t>마력 폭발</t>
    <phoneticPr fontId="4" type="noConversion"/>
  </si>
  <si>
    <t>힐</t>
    <phoneticPr fontId="4" type="noConversion"/>
  </si>
  <si>
    <t>자신의 체력 50 단일 회복</t>
    <phoneticPr fontId="4" type="noConversion"/>
  </si>
  <si>
    <t>상대 전체 공격</t>
    <phoneticPr fontId="4" type="noConversion"/>
  </si>
  <si>
    <t>70% 확률로 스킬1 (70% 확률로 상대 후열 우선), 30% 확률로 스킬2</t>
    <phoneticPr fontId="4" type="noConversion"/>
  </si>
  <si>
    <t>일반 상황에서는 스킬1(50:50 확률로 젼열 또는 후열 타깃), 체력 60 이하 시 스킬2</t>
    <phoneticPr fontId="4" type="noConversion"/>
  </si>
  <si>
    <t>70% 확률로 스킬1, 30% 확률로 스킬2</t>
    <phoneticPr fontId="4" type="noConversion"/>
  </si>
  <si>
    <t>ClassSkillValue</t>
    <phoneticPr fontId="4" type="noConversion"/>
  </si>
  <si>
    <t>WeaponSkillValue</t>
    <phoneticPr fontId="4" type="noConversion"/>
  </si>
  <si>
    <t>레벨</t>
    <phoneticPr fontId="4" type="noConversion"/>
  </si>
  <si>
    <t>총 전투 수</t>
    <phoneticPr fontId="4" type="noConversion"/>
  </si>
  <si>
    <t>스킬</t>
    <phoneticPr fontId="4" type="noConversion"/>
  </si>
  <si>
    <t>기본 스킬</t>
    <phoneticPr fontId="4" type="noConversion"/>
  </si>
  <si>
    <t>신규 스킬</t>
    <phoneticPr fontId="4" type="noConversion"/>
  </si>
  <si>
    <t>신규 스킬 획득까지
필요한 전투 수</t>
    <phoneticPr fontId="4" type="noConversion"/>
  </si>
  <si>
    <t>무기 획득 추천 타이밍</t>
    <phoneticPr fontId="4" type="noConversion"/>
  </si>
  <si>
    <t>기본 무기</t>
    <phoneticPr fontId="4" type="noConversion"/>
  </si>
  <si>
    <t>신규 무기</t>
    <phoneticPr fontId="4" type="noConversion"/>
  </si>
  <si>
    <t xml:space="preserve"> 습득 레벨</t>
    <phoneticPr fontId="4" type="noConversion"/>
  </si>
  <si>
    <t>직업</t>
    <phoneticPr fontId="4" type="noConversion"/>
  </si>
  <si>
    <t>ClassSkillName</t>
    <phoneticPr fontId="4" type="noConversion"/>
  </si>
  <si>
    <t>직업 스킬명</t>
    <phoneticPr fontId="4" type="noConversion"/>
  </si>
  <si>
    <t>ClassSkillDescription</t>
    <phoneticPr fontId="4" type="noConversion"/>
  </si>
  <si>
    <t>직업 스킬 설명</t>
    <phoneticPr fontId="4" type="noConversion"/>
  </si>
  <si>
    <t>스킬 계수</t>
    <phoneticPr fontId="4" type="noConversion"/>
  </si>
  <si>
    <t>불굴</t>
    <phoneticPr fontId="4" type="noConversion"/>
  </si>
  <si>
    <t>메테오</t>
    <phoneticPr fontId="4" type="noConversion"/>
  </si>
  <si>
    <t>붕괴</t>
    <phoneticPr fontId="4" type="noConversion"/>
  </si>
  <si>
    <t>광역 힐</t>
    <phoneticPr fontId="4" type="noConversion"/>
  </si>
  <si>
    <t>관통</t>
    <phoneticPr fontId="4" type="noConversion"/>
  </si>
  <si>
    <t>광역 도발</t>
    <phoneticPr fontId="4" type="noConversion"/>
  </si>
  <si>
    <t>돌파</t>
    <phoneticPr fontId="4" type="noConversion"/>
  </si>
  <si>
    <t>쌍렬 베기</t>
    <phoneticPr fontId="4" type="noConversion"/>
  </si>
  <si>
    <t>적 전열과 후열의 모든 적에게 50% 대미지를 준다.</t>
    <phoneticPr fontId="4" type="noConversion"/>
  </si>
  <si>
    <t>ClassSkillIndex</t>
    <phoneticPr fontId="4" type="noConversion"/>
  </si>
  <si>
    <t>직업 스킬 인덱스</t>
    <phoneticPr fontId="4" type="noConversion"/>
  </si>
  <si>
    <t>무기 스킬 인덱스</t>
    <phoneticPr fontId="4" type="noConversion"/>
  </si>
  <si>
    <t>WeaponSkillIndex</t>
    <phoneticPr fontId="4" type="noConversion"/>
  </si>
  <si>
    <t>전열 저격</t>
    <phoneticPr fontId="4" type="noConversion"/>
  </si>
  <si>
    <t>급소 저격</t>
    <phoneticPr fontId="4" type="noConversion"/>
  </si>
  <si>
    <t>화살비</t>
    <phoneticPr fontId="4" type="noConversion"/>
  </si>
  <si>
    <t>자신의 체력이 낮을수록 적 1명에게 높은 대미지를 입힌다. (기본 100% + 최대 체력 대비 현재 체력 20%가 낮아질 때마다 20% 추가, 최대 180%)</t>
    <phoneticPr fontId="4" type="noConversion"/>
  </si>
  <si>
    <t>적 1명에게 70% 대미지를 두 번 입힌다. (치명타, 회피율 판정은 각각 계산한다.)</t>
    <phoneticPr fontId="4" type="noConversion"/>
  </si>
  <si>
    <t>적 1명에게 100% 대미지를 입힌다.</t>
    <phoneticPr fontId="4" type="noConversion"/>
  </si>
  <si>
    <t>후열 저격</t>
    <phoneticPr fontId="4" type="noConversion"/>
  </si>
  <si>
    <t>적 1명에게 100% 대미지를 입힌다. 전열의 적을 공격 시, 120% 대미지로 계산한다.</t>
    <phoneticPr fontId="4" type="noConversion"/>
  </si>
  <si>
    <t>최후의 일격</t>
    <phoneticPr fontId="4" type="noConversion"/>
  </si>
  <si>
    <t>적 1명에게 100% 대미지를 입힌다. 후열의 적을 공격 시 대미지 계산 전 회피율을 20% 내린다.</t>
    <phoneticPr fontId="4" type="noConversion"/>
  </si>
  <si>
    <t>적 1명에게 100% 대미지를 입힌다. 체력 70% 이하 대상 공격 시 대미지 계산 전 치명타 확률을 20% 올린다.</t>
    <phoneticPr fontId="4" type="noConversion"/>
  </si>
  <si>
    <t>적의 체력이 낮을 수록 높은 대미지를 입힌다. (기본 100% + 적의 최대 체력 대비 현재 체력 10%가 낮아질 때마다 10% 추가, 최대 180%)</t>
    <phoneticPr fontId="4" type="noConversion"/>
  </si>
  <si>
    <t>파이어볼</t>
    <phoneticPr fontId="4" type="noConversion"/>
  </si>
  <si>
    <t>번개 확산</t>
    <phoneticPr fontId="4" type="noConversion"/>
  </si>
  <si>
    <t>연쇄 번개</t>
    <phoneticPr fontId="4" type="noConversion"/>
  </si>
  <si>
    <t>마력 집중</t>
    <phoneticPr fontId="4" type="noConversion"/>
  </si>
  <si>
    <t>이 공격을 맞는 적의 수가 적을수록 높은 대미지를 입힌다. (기본 100% + 전 진형의 빈 칸 하나당 20%, 최대 180%)</t>
    <phoneticPr fontId="4" type="noConversion"/>
  </si>
  <si>
    <t>적 한 열에 80% 대미지를 입힌다.</t>
    <phoneticPr fontId="4" type="noConversion"/>
  </si>
  <si>
    <t>적 1명에게 체력이 높을수록 높은 대미지를 입힌다. (기본 150% + 적의 최대 체력 대비 현재 체력 10%가 낮아질 때마다 10% 감소, 최소 100%)</t>
    <phoneticPr fontId="4" type="noConversion"/>
  </si>
  <si>
    <t>적 한 명에게 180% 대미지를 입힌다. 다음 자신의 턴 1턴을 건너뛴다.</t>
    <phoneticPr fontId="4" type="noConversion"/>
  </si>
  <si>
    <t>전열의 적 한 명에게 70% 대미지를 입히고, 인접한 적 한 명에게 추가로 50% 대미지를 입힌다.</t>
    <phoneticPr fontId="4" type="noConversion"/>
  </si>
  <si>
    <t>적 전열과 후열의 모든 적에게 60% 대미지를 준다.</t>
    <phoneticPr fontId="4" type="noConversion"/>
  </si>
  <si>
    <t>신성탄</t>
    <phoneticPr fontId="4" type="noConversion"/>
  </si>
  <si>
    <t>심판의 빛</t>
    <phoneticPr fontId="4" type="noConversion"/>
  </si>
  <si>
    <t>긴급 치유</t>
    <phoneticPr fontId="4" type="noConversion"/>
  </si>
  <si>
    <t>신성 폭발</t>
    <phoneticPr fontId="4" type="noConversion"/>
  </si>
  <si>
    <t>기적</t>
    <phoneticPr fontId="4" type="noConversion"/>
  </si>
  <si>
    <t>적 1명에게 100% 대미지를 입히고 체력을 회복할 수 없게 한다.</t>
    <phoneticPr fontId="4" type="noConversion"/>
  </si>
  <si>
    <t>사망한 아군 1명을 체력 20%로 부활시킨다. (한 전투당 한 번만 사용 가능)</t>
    <phoneticPr fontId="4" type="noConversion"/>
  </si>
  <si>
    <t>적 한 열에 100% 대미지를 입히고, 1턴 동안 모든 적이 단일 공격 시 자신을 공격하게 한다. (적 전열이 있을 경우, 전열 우선 공격)</t>
    <phoneticPr fontId="4" type="noConversion"/>
  </si>
  <si>
    <t>전열의 적 한 명에게 60% 대미지를 입히고, 해당 후열에 있는 적 한 명에게 추가로 80% 대미지를 입힌다. (전열의 적이 없을 경우 후열의 적 한 명만을 공격)</t>
    <phoneticPr fontId="4" type="noConversion"/>
  </si>
  <si>
    <t>적 한 열에 100% 대미지를 입힌다. (적 전열이 있을 경우, 전열 우선 공격)</t>
    <phoneticPr fontId="4" type="noConversion"/>
  </si>
  <si>
    <t>적 1명에게 120% 대미지를 입힌다. (후열에 있는 적도 공격 가능하다.)</t>
    <phoneticPr fontId="4" type="noConversion"/>
  </si>
  <si>
    <t>적 1명에게 120% 대미지를 입히고, 1턴 동안 해당 대상이 단일 공격 시 자신을 공격하게 한다. (적 전열이 있을 경우, 전열 우선 공격)</t>
    <phoneticPr fontId="4" type="noConversion"/>
  </si>
  <si>
    <t>수정 날짜</t>
    <phoneticPr fontId="4" type="noConversion"/>
  </si>
  <si>
    <t>버전</t>
    <phoneticPr fontId="4" type="noConversion"/>
  </si>
  <si>
    <t>강현재</t>
    <phoneticPr fontId="4" type="noConversion"/>
  </si>
  <si>
    <t>V1.0</t>
    <phoneticPr fontId="4" type="noConversion"/>
  </si>
  <si>
    <t>V1.1</t>
    <phoneticPr fontId="4" type="noConversion"/>
  </si>
  <si>
    <t>담당자</t>
    <phoneticPr fontId="4" type="noConversion"/>
  </si>
  <si>
    <t>수정 내역</t>
    <phoneticPr fontId="4" type="noConversion"/>
  </si>
  <si>
    <t>비고</t>
    <phoneticPr fontId="4" type="noConversion"/>
  </si>
  <si>
    <t>1. 문서 목적</t>
    <phoneticPr fontId="4" type="noConversion"/>
  </si>
  <si>
    <t>아군 및 적군 유닛 임시 스테이터스 기입, 
직업 스킬 기획</t>
    <phoneticPr fontId="4" type="noConversion"/>
  </si>
  <si>
    <t>스테이터스명</t>
    <phoneticPr fontId="4" type="noConversion"/>
  </si>
  <si>
    <t>설명</t>
    <phoneticPr fontId="4" type="noConversion"/>
  </si>
  <si>
    <t>규칙</t>
    <phoneticPr fontId="4" type="noConversion"/>
  </si>
  <si>
    <t>1) 유닛 스테이터스</t>
    <phoneticPr fontId="4" type="noConversion"/>
  </si>
  <si>
    <t>최대 체력</t>
    <phoneticPr fontId="4" type="noConversion"/>
  </si>
  <si>
    <t>피해 경감율</t>
    <phoneticPr fontId="4" type="noConversion"/>
  </si>
  <si>
    <t>* 0 ~ 4 범위 내 정수</t>
    <phoneticPr fontId="4" type="noConversion"/>
  </si>
  <si>
    <t>* 반격 발생시, 상대에게 반격자 공격력의 50% 대미지 증가
* 반격률 최대 70%</t>
    <phoneticPr fontId="4" type="noConversion"/>
  </si>
  <si>
    <t>* 치명타 발생시, 주는 대미지 증가: 기본 피해량의 150% 대미지 증가
* 치명타율 최대 70%</t>
    <phoneticPr fontId="4" type="noConversion"/>
  </si>
  <si>
    <t>* 피해 경감 발생 시, 받는 피해량을 50% 감소
* 피해경감율 최대 70%</t>
    <phoneticPr fontId="4" type="noConversion"/>
  </si>
  <si>
    <t>1. 성장 시스템 방향성</t>
    <phoneticPr fontId="4" type="noConversion"/>
  </si>
  <si>
    <t>클래스 콘셉트</t>
    <phoneticPr fontId="4" type="noConversion"/>
  </si>
  <si>
    <t>4. 경험치 획득 규칙</t>
    <phoneticPr fontId="4" type="noConversion"/>
  </si>
  <si>
    <t>5. 전투 경험치 테이블</t>
    <phoneticPr fontId="4" type="noConversion"/>
  </si>
  <si>
    <t>무기명</t>
    <phoneticPr fontId="4" type="noConversion"/>
  </si>
  <si>
    <t>WeaponName</t>
    <phoneticPr fontId="4" type="noConversion"/>
  </si>
  <si>
    <t>무기 스킬명</t>
    <phoneticPr fontId="4" type="noConversion"/>
  </si>
  <si>
    <t>무기 스킬 계수</t>
    <phoneticPr fontId="4" type="noConversion"/>
  </si>
  <si>
    <t>무기 스킬 설명</t>
    <phoneticPr fontId="4" type="noConversion"/>
  </si>
  <si>
    <t>WeaponSkillName</t>
    <phoneticPr fontId="4" type="noConversion"/>
  </si>
  <si>
    <t>무기 인덱스</t>
    <phoneticPr fontId="4" type="noConversion"/>
  </si>
  <si>
    <t>개발명</t>
    <phoneticPr fontId="4" type="noConversion"/>
  </si>
  <si>
    <t>필드명</t>
    <phoneticPr fontId="4" type="noConversion"/>
  </si>
  <si>
    <t>타입</t>
    <phoneticPr fontId="4" type="noConversion"/>
  </si>
  <si>
    <t>표기 규칙</t>
    <phoneticPr fontId="4" type="noConversion"/>
  </si>
  <si>
    <t>int</t>
    <phoneticPr fontId="4" type="noConversion"/>
  </si>
  <si>
    <t>string</t>
    <phoneticPr fontId="4" type="noConversion"/>
  </si>
  <si>
    <t>서로 다른 스테이터스를 가진 직업군, 캐릭터 생성 시 선택</t>
    <phoneticPr fontId="4" type="noConversion"/>
  </si>
  <si>
    <t>착용 가능
직업 스킬 인덱스</t>
    <phoneticPr fontId="4" type="noConversion"/>
  </si>
  <si>
    <t>착용 가능
무기 인덱스</t>
    <phoneticPr fontId="4" type="noConversion"/>
  </si>
  <si>
    <t>피해 경감 확률</t>
    <phoneticPr fontId="4" type="noConversion"/>
  </si>
  <si>
    <t>float</t>
    <phoneticPr fontId="4" type="noConversion"/>
  </si>
  <si>
    <t>1로 시작하는 다섯 자리 자연수로 표기, 예시) 10001</t>
    <phoneticPr fontId="4" type="noConversion"/>
  </si>
  <si>
    <t>아군 유닛 인덱스</t>
    <phoneticPr fontId="4" type="noConversion"/>
  </si>
  <si>
    <t>유닛 콘셉트 소개</t>
    <phoneticPr fontId="4" type="noConversion"/>
  </si>
  <si>
    <t>4 ≥ Speed ≥ 0</t>
    <phoneticPr fontId="4" type="noConversion"/>
  </si>
  <si>
    <t>1. 인덱스</t>
    <phoneticPr fontId="4" type="noConversion"/>
  </si>
  <si>
    <t>적군 유닛 인덱스</t>
    <phoneticPr fontId="4" type="noConversion"/>
  </si>
  <si>
    <t>EnemyIndex</t>
    <phoneticPr fontId="4" type="noConversion"/>
  </si>
  <si>
    <t>2로 시작하는 다섯 자리 자연수로 표기, 예시) 20001</t>
    <phoneticPr fontId="4" type="noConversion"/>
  </si>
  <si>
    <t>WeaponIndex</t>
    <phoneticPr fontId="4" type="noConversion"/>
  </si>
  <si>
    <t>3으로 시작하는 여섯 자리 자연수로 표기, 예시) 311010
(3 무기 + 1~3 장비 종류 + 1~9 직업 코드 + 001~999 인덱스)</t>
    <phoneticPr fontId="4" type="noConversion"/>
  </si>
  <si>
    <t>3으로 시작하는 여섯 자리 자연수로 표기, 예시) 310001
(3 무기 + 1~3 장비 종류 + 0 + 1~9 직업 코드 + 01~99 인덱스)</t>
    <phoneticPr fontId="4" type="noConversion"/>
  </si>
  <si>
    <t>네 자리 자연수로 표기, 예시) 1010 (맨 첫자리는 직업 코드: 1 워리어 2 아처 3 위저드 4 클레릭)</t>
    <phoneticPr fontId="4" type="noConversion"/>
  </si>
  <si>
    <t>list&lt;int&gt;</t>
    <phoneticPr fontId="4" type="noConversion"/>
  </si>
  <si>
    <t>UnitAI</t>
    <phoneticPr fontId="4" type="noConversion"/>
  </si>
  <si>
    <t>적군 유닛명</t>
    <phoneticPr fontId="4" type="noConversion"/>
  </si>
  <si>
    <t>EnemyName</t>
    <phoneticPr fontId="4" type="noConversion"/>
  </si>
  <si>
    <t>클래스명</t>
    <phoneticPr fontId="4" type="noConversion"/>
  </si>
  <si>
    <t>ClassName</t>
    <phoneticPr fontId="4" type="noConversion"/>
  </si>
  <si>
    <t>ClassConcept</t>
    <phoneticPr fontId="4" type="noConversion"/>
  </si>
  <si>
    <t>ClassIndex</t>
    <phoneticPr fontId="4" type="noConversion"/>
  </si>
  <si>
    <t>적군 스킬 인덱스</t>
    <phoneticPr fontId="4" type="noConversion"/>
  </si>
  <si>
    <t>EnemySkillIndex</t>
    <phoneticPr fontId="4" type="noConversion"/>
  </si>
  <si>
    <t>2로 시작하는 여섯 자리 자연수로 표기, 예시) 210001</t>
    <phoneticPr fontId="4" type="noConversion"/>
  </si>
  <si>
    <t>직업 스킬 습득 레벨</t>
    <phoneticPr fontId="4" type="noConversion"/>
  </si>
  <si>
    <t>ClassSkillAcquireLevel</t>
    <phoneticPr fontId="4" type="noConversion"/>
  </si>
  <si>
    <t>0 공격 스킬 (적군을 대상으로 함) 1 회복 스킬 (아군을 대상으로 함)</t>
    <phoneticPr fontId="4" type="noConversion"/>
  </si>
  <si>
    <t>0 근거리 스킬 (전열이 있을 경우 전열을 우선) 1 원거리 스킬</t>
    <phoneticPr fontId="4" type="noConversion"/>
  </si>
  <si>
    <t>SkillValue</t>
    <phoneticPr fontId="4" type="noConversion"/>
  </si>
  <si>
    <t>WaeponSkillIndex</t>
    <phoneticPr fontId="4" type="noConversion"/>
  </si>
  <si>
    <t>WaeponSkillName</t>
    <phoneticPr fontId="4" type="noConversion"/>
  </si>
  <si>
    <t>WaeponSkillDescription</t>
    <phoneticPr fontId="4" type="noConversion"/>
  </si>
  <si>
    <t>직업명</t>
    <phoneticPr fontId="4" type="noConversion"/>
  </si>
  <si>
    <t>참조용</t>
    <phoneticPr fontId="4" type="noConversion"/>
  </si>
  <si>
    <t>사용 직업명</t>
    <phoneticPr fontId="4" type="noConversion"/>
  </si>
  <si>
    <t>무기 설명</t>
    <phoneticPr fontId="4" type="noConversion"/>
  </si>
  <si>
    <t>WaeponName</t>
    <phoneticPr fontId="4" type="noConversion"/>
  </si>
  <si>
    <t>WaeponDescription</t>
    <phoneticPr fontId="4" type="noConversion"/>
  </si>
  <si>
    <t>사용할 적군 스킬1</t>
    <phoneticPr fontId="4" type="noConversion"/>
  </si>
  <si>
    <t>사용할 적군 스킬2</t>
    <phoneticPr fontId="4" type="noConversion"/>
  </si>
  <si>
    <t>BonusSpeed</t>
    <phoneticPr fontId="4" type="noConversion"/>
  </si>
  <si>
    <t>BonusCriticalRate</t>
    <phoneticPr fontId="4" type="noConversion"/>
  </si>
  <si>
    <t>BonusCounterRate</t>
    <phoneticPr fontId="4" type="noConversion"/>
  </si>
  <si>
    <t>BonusATK</t>
    <phoneticPr fontId="4" type="noConversion"/>
  </si>
  <si>
    <t>BonusDEF</t>
    <phoneticPr fontId="4" type="noConversion"/>
  </si>
  <si>
    <t>BonusMaxHP</t>
    <phoneticPr fontId="4" type="noConversion"/>
  </si>
  <si>
    <t>최대 체력 증가량</t>
    <phoneticPr fontId="4" type="noConversion"/>
  </si>
  <si>
    <t>공격력 증가량</t>
    <phoneticPr fontId="4" type="noConversion"/>
  </si>
  <si>
    <t>방어력 증가량</t>
    <phoneticPr fontId="4" type="noConversion"/>
  </si>
  <si>
    <t>보류</t>
    <phoneticPr fontId="4" type="noConversion"/>
  </si>
  <si>
    <t>치명타율 증가량</t>
    <phoneticPr fontId="4" type="noConversion"/>
  </si>
  <si>
    <t>반격율 증가량</t>
    <phoneticPr fontId="4" type="noConversion"/>
  </si>
  <si>
    <t>피해 경감 확률 증가량</t>
    <phoneticPr fontId="4" type="noConversion"/>
  </si>
  <si>
    <t>스피드 증가량</t>
    <phoneticPr fontId="4" type="noConversion"/>
  </si>
  <si>
    <t>ClassSkillIndexList</t>
    <phoneticPr fontId="4" type="noConversion"/>
  </si>
  <si>
    <t>WeaponIndexList</t>
    <phoneticPr fontId="4" type="noConversion"/>
  </si>
  <si>
    <t>사용 가능 직업 스킬</t>
    <phoneticPr fontId="4" type="noConversion"/>
  </si>
  <si>
    <t>사용 가능 무기</t>
    <phoneticPr fontId="4" type="noConversion"/>
  </si>
  <si>
    <t>ReduceRate</t>
    <phoneticPr fontId="4" type="noConversion"/>
  </si>
  <si>
    <t>적군 유닛
인덱스</t>
    <phoneticPr fontId="4" type="noConversion"/>
  </si>
  <si>
    <t>아군 유닛
인덱스</t>
    <phoneticPr fontId="4" type="noConversion"/>
  </si>
  <si>
    <t>ClassConcept</t>
    <phoneticPr fontId="4" type="noConversion"/>
  </si>
  <si>
    <t>클래스 콘셉트</t>
    <phoneticPr fontId="4" type="noConversion"/>
  </si>
  <si>
    <t>피해 경감률</t>
    <phoneticPr fontId="4" type="noConversion"/>
  </si>
  <si>
    <t>ClassSkill
IndexList</t>
    <phoneticPr fontId="4" type="noConversion"/>
  </si>
  <si>
    <t>Weapon
IndexList</t>
    <phoneticPr fontId="4" type="noConversion"/>
  </si>
  <si>
    <t>단일 공격에 특화된 원거리 병종</t>
    <phoneticPr fontId="4" type="noConversion"/>
  </si>
  <si>
    <t>다중 공격에 특화된 원거리 병종</t>
    <phoneticPr fontId="4" type="noConversion"/>
  </si>
  <si>
    <t>체력이 높은 근거리 병종</t>
    <phoneticPr fontId="4" type="noConversion"/>
  </si>
  <si>
    <t>회복이 가능한 원거리 병종</t>
    <phoneticPr fontId="4" type="noConversion"/>
  </si>
  <si>
    <t>{1010,1020,1030,1040,1050,1060,1070}</t>
    <phoneticPr fontId="4" type="noConversion"/>
  </si>
  <si>
    <t>{2010,2020,2030,2040,2050,2060,2070}</t>
    <phoneticPr fontId="4" type="noConversion"/>
  </si>
  <si>
    <t>{3010,3020,3030,3040,3050,3060,3070}</t>
    <phoneticPr fontId="4" type="noConversion"/>
  </si>
  <si>
    <t>{4010,4020,4030,4040,4050,4060,4070}</t>
    <phoneticPr fontId="4" type="noConversion"/>
  </si>
  <si>
    <t>착용 가능한 직업 스킬 인덱스, 중괄호{} 내 공백 없이 숫자와 쉼표로 기입, 예시) 1010,1020,1030,1040,1050,1060,1070</t>
    <phoneticPr fontId="4" type="noConversion"/>
  </si>
  <si>
    <t>착용 가능한 무기 인덱스, 중괄호{} 내 공백 없이 숫자와 쉼표로 기입, 예시) 310101,310102,310103,310104,310105,310106,310107</t>
    <phoneticPr fontId="4" type="noConversion"/>
  </si>
  <si>
    <t>{310101,310102,310103,310104,310105,310106,310107}</t>
    <phoneticPr fontId="4" type="noConversion"/>
  </si>
  <si>
    <t>{310201,310202,310203,310204,310205,310206,310207}</t>
  </si>
  <si>
    <t>{310301,310302,310303,310304,310305,310306,310307}</t>
  </si>
  <si>
    <t>{310401,310402,310403,310404,310405,310406,310407}</t>
  </si>
  <si>
    <t>적군 유닛 콘셉트</t>
    <phoneticPr fontId="4" type="noConversion"/>
  </si>
  <si>
    <t>EnemyConcept</t>
    <phoneticPr fontId="4" type="noConversion"/>
  </si>
  <si>
    <t>EnemyConcept</t>
    <phoneticPr fontId="4" type="noConversion"/>
  </si>
  <si>
    <t>UnitAI</t>
    <phoneticPr fontId="4" type="noConversion"/>
  </si>
  <si>
    <t>적군 유닛명</t>
    <phoneticPr fontId="4" type="noConversion"/>
  </si>
  <si>
    <t>하급 몬스터</t>
    <phoneticPr fontId="4" type="noConversion"/>
  </si>
  <si>
    <t>중급 몬스터</t>
    <phoneticPr fontId="4" type="noConversion"/>
  </si>
  <si>
    <t>상급 몬스터</t>
    <phoneticPr fontId="4" type="noConversion"/>
  </si>
  <si>
    <t>ClassSkill
AcquireLevel</t>
    <phoneticPr fontId="4" type="noConversion"/>
  </si>
  <si>
    <t>EnemySkill1
Name</t>
    <phoneticPr fontId="4" type="noConversion"/>
  </si>
  <si>
    <t>EnemySkill1
Description</t>
    <phoneticPr fontId="4" type="noConversion"/>
  </si>
  <si>
    <t>적군 스킬1
설명</t>
    <phoneticPr fontId="4" type="noConversion"/>
  </si>
  <si>
    <t>상대 전열 또는 후열 단일 공격</t>
    <phoneticPr fontId="4" type="noConversion"/>
  </si>
  <si>
    <t>하급 몬스터 스킬1</t>
    <phoneticPr fontId="4" type="noConversion"/>
  </si>
  <si>
    <t>중급 몬스터 스킬1</t>
    <phoneticPr fontId="4" type="noConversion"/>
  </si>
  <si>
    <t>상급 몬스터 스킬1</t>
    <phoneticPr fontId="4" type="noConversion"/>
  </si>
  <si>
    <t>하급 몬스터 스킬2</t>
    <phoneticPr fontId="4" type="noConversion"/>
  </si>
  <si>
    <t>중급 몬스터 스킬2</t>
    <phoneticPr fontId="4" type="noConversion"/>
  </si>
  <si>
    <t>상급 몬스터 스킬2</t>
    <phoneticPr fontId="4" type="noConversion"/>
  </si>
  <si>
    <t>적군 스킬2
설명</t>
    <phoneticPr fontId="4" type="noConversion"/>
  </si>
  <si>
    <t>EnemySkill2
Name</t>
    <phoneticPr fontId="4" type="noConversion"/>
  </si>
  <si>
    <t>EnemySkill2
Description</t>
    <phoneticPr fontId="4" type="noConversion"/>
  </si>
  <si>
    <t>2. 아군/적군 캐릭터 공통 스테이터스 (인카운트 전투 시 사용)</t>
    <phoneticPr fontId="4" type="noConversion"/>
  </si>
  <si>
    <t>캐릭터 공통 스테이터스</t>
    <phoneticPr fontId="4" type="noConversion"/>
  </si>
  <si>
    <t>4. 아군 유닛</t>
    <phoneticPr fontId="4" type="noConversion"/>
  </si>
  <si>
    <t>5. 적군 유닛</t>
    <phoneticPr fontId="4" type="noConversion"/>
  </si>
  <si>
    <t>적군 유닛 행동 규칙</t>
    <phoneticPr fontId="4" type="noConversion"/>
  </si>
  <si>
    <t>적군 스킬1 스킬명</t>
    <phoneticPr fontId="4" type="noConversion"/>
  </si>
  <si>
    <t>적군 스킬2 스킬명</t>
    <phoneticPr fontId="4" type="noConversion"/>
  </si>
  <si>
    <t>적군 스킬1 스킬명</t>
    <phoneticPr fontId="4" type="noConversion"/>
  </si>
  <si>
    <t>적군 스킬2 스킬명</t>
    <phoneticPr fontId="4" type="noConversion"/>
  </si>
  <si>
    <t>적군 스킬2 스킬 공통 데이터</t>
    <phoneticPr fontId="4" type="noConversion"/>
  </si>
  <si>
    <t>적군 스킬1 스킬 공통 데이터</t>
    <phoneticPr fontId="4" type="noConversion"/>
  </si>
  <si>
    <t>3. 스킬 공통 데이터</t>
    <phoneticPr fontId="4" type="noConversion"/>
  </si>
  <si>
    <t>EnemySkill1Name</t>
    <phoneticPr fontId="4" type="noConversion"/>
  </si>
  <si>
    <t>EnemySkill1Description</t>
    <phoneticPr fontId="4" type="noConversion"/>
  </si>
  <si>
    <t>EnemySkill2Name</t>
    <phoneticPr fontId="4" type="noConversion"/>
  </si>
  <si>
    <t>적군 스킬1 설명</t>
    <phoneticPr fontId="4" type="noConversion"/>
  </si>
  <si>
    <t>적군 스킬2 설명</t>
    <phoneticPr fontId="4" type="noConversion"/>
  </si>
  <si>
    <t>7. 무기</t>
    <phoneticPr fontId="4" type="noConversion"/>
  </si>
  <si>
    <t>직업 스킬 스킬 공통 데이터</t>
    <phoneticPr fontId="4" type="noConversion"/>
  </si>
  <si>
    <t>무기 스킬 스킬 공통 데이터</t>
    <phoneticPr fontId="4" type="noConversion"/>
  </si>
  <si>
    <t>스킬 사정거리</t>
    <phoneticPr fontId="4" type="noConversion"/>
  </si>
  <si>
    <t>SkillRange</t>
    <phoneticPr fontId="4" type="noConversion"/>
  </si>
  <si>
    <t>SkillEffect</t>
    <phoneticPr fontId="4" type="noConversion"/>
  </si>
  <si>
    <t>스킬 대상</t>
    <phoneticPr fontId="4" type="noConversion"/>
  </si>
  <si>
    <t>SkillTarget</t>
    <phoneticPr fontId="4" type="noConversion"/>
  </si>
  <si>
    <t>WeaponSkillDescription</t>
    <phoneticPr fontId="4" type="noConversion"/>
  </si>
  <si>
    <t>WeaponSkillEffect</t>
    <phoneticPr fontId="4" type="noConversion"/>
  </si>
  <si>
    <t>WeaponSkillRange</t>
    <phoneticPr fontId="4" type="noConversion"/>
  </si>
  <si>
    <t>WeaponSkillTarget</t>
    <phoneticPr fontId="4" type="noConversion"/>
  </si>
  <si>
    <t>무기 스킬 효과
(0 공격 1 회복)</t>
    <phoneticPr fontId="4" type="noConversion"/>
  </si>
  <si>
    <t>무기 스킬 사정거리
(0 근거리 1 원거리)</t>
    <phoneticPr fontId="4" type="noConversion"/>
  </si>
  <si>
    <t>무기 스킬 대상
(0 단일 1 복수 2 전체)</t>
    <phoneticPr fontId="4" type="noConversion"/>
  </si>
  <si>
    <t>직업 스킬 대상
(0 단일 1 복수 2 전체)</t>
    <phoneticPr fontId="4" type="noConversion"/>
  </si>
  <si>
    <t>직업 스킬 사정거리
(0 근거리 1 원거리)</t>
    <phoneticPr fontId="4" type="noConversion"/>
  </si>
  <si>
    <t>직업 스킬 효과
(0 공격 1 회복)</t>
    <phoneticPr fontId="4" type="noConversion"/>
  </si>
  <si>
    <t>ClassSkillEffect</t>
    <phoneticPr fontId="4" type="noConversion"/>
  </si>
  <si>
    <t>ClassSkillRange</t>
    <phoneticPr fontId="4" type="noConversion"/>
  </si>
  <si>
    <t>ClassSkillTarget</t>
    <phoneticPr fontId="4" type="noConversion"/>
  </si>
  <si>
    <t>적군 스킬 1 효과
(0 공격 1 회복)</t>
    <phoneticPr fontId="4" type="noConversion"/>
  </si>
  <si>
    <t>적군 스킬 1 사정거리
(0 근거리 1 원거리)</t>
    <phoneticPr fontId="4" type="noConversion"/>
  </si>
  <si>
    <t>적군 스킬 1 대상
(0 단일 1 복수 2 전체)</t>
    <phoneticPr fontId="4" type="noConversion"/>
  </si>
  <si>
    <t>적군 스킬 2 효과
(0 공격 1 회복)</t>
    <phoneticPr fontId="4" type="noConversion"/>
  </si>
  <si>
    <t>적군 스킬 12 사정거리
(0 근거리 1 원거리)</t>
    <phoneticPr fontId="4" type="noConversion"/>
  </si>
  <si>
    <t>적군 스킬 2 대상
(0 단일 1 복수 2 전체)</t>
    <phoneticPr fontId="4" type="noConversion"/>
  </si>
  <si>
    <t>적군 스킬 2 계수</t>
    <phoneticPr fontId="4" type="noConversion"/>
  </si>
  <si>
    <t>적군 스킬 1 계수</t>
    <phoneticPr fontId="4" type="noConversion"/>
  </si>
  <si>
    <t>EnemySkill1Effect</t>
    <phoneticPr fontId="4" type="noConversion"/>
  </si>
  <si>
    <t>EnemySkill1Range</t>
    <phoneticPr fontId="4" type="noConversion"/>
  </si>
  <si>
    <t>EnemySkill1Target</t>
    <phoneticPr fontId="4" type="noConversion"/>
  </si>
  <si>
    <t>EnemySkill1Value</t>
    <phoneticPr fontId="4" type="noConversion"/>
  </si>
  <si>
    <t>EnemySkill2Effect</t>
    <phoneticPr fontId="4" type="noConversion"/>
  </si>
  <si>
    <t>EnemySkill2Range</t>
    <phoneticPr fontId="4" type="noConversion"/>
  </si>
  <si>
    <t>EnemySkill2Target</t>
    <phoneticPr fontId="4" type="noConversion"/>
  </si>
  <si>
    <t>EnemySkill2Value</t>
    <phoneticPr fontId="4" type="noConversion"/>
  </si>
  <si>
    <t>공격 스킬: 배율 단위 표시 (예: 1.5 → 150%)
회복 스킬: 고정 수치 표시</t>
    <phoneticPr fontId="4" type="noConversion"/>
  </si>
  <si>
    <t>BonusReduceRate</t>
    <phoneticPr fontId="4" type="noConversion"/>
  </si>
  <si>
    <t>0 단일 대상 1 복수 대상(한 열, 2인 등) 2 전체 대상
0일 경우, 스킬 대상 1명을 고른다
1일 경우, 범위는 스킬 설명에 따라 선택한다
2일 경우, 대상 선택 없이 바로 실행한다</t>
    <phoneticPr fontId="4" type="noConversion"/>
  </si>
  <si>
    <t>ClassSkillSubValue</t>
    <phoneticPr fontId="4" type="noConversion"/>
  </si>
  <si>
    <t>SkillSubValue</t>
    <phoneticPr fontId="4" type="noConversion"/>
  </si>
  <si>
    <t>추가 스킬 계수</t>
    <phoneticPr fontId="4" type="noConversion"/>
  </si>
  <si>
    <t>직업 스킬 추가 계수</t>
    <phoneticPr fontId="4" type="noConversion"/>
  </si>
  <si>
    <t>성장 시스템 및 테이블 필드 정의</t>
    <phoneticPr fontId="4" type="noConversion"/>
  </si>
  <si>
    <t>V1.2</t>
    <phoneticPr fontId="4" type="noConversion"/>
  </si>
  <si>
    <t>1. 장비 시스템 요약</t>
    <phoneticPr fontId="4" type="noConversion"/>
  </si>
  <si>
    <t>하급 검</t>
    <phoneticPr fontId="4" type="noConversion"/>
  </si>
  <si>
    <t>하급 활</t>
  </si>
  <si>
    <t>하급 활</t>
    <phoneticPr fontId="4" type="noConversion"/>
  </si>
  <si>
    <t>중급 활</t>
  </si>
  <si>
    <t>중급 활</t>
    <phoneticPr fontId="4" type="noConversion"/>
  </si>
  <si>
    <t>상급 활</t>
  </si>
  <si>
    <t>상급 활</t>
    <phoneticPr fontId="4" type="noConversion"/>
  </si>
  <si>
    <t>하급 완드</t>
  </si>
  <si>
    <t>하급 완드</t>
    <phoneticPr fontId="4" type="noConversion"/>
  </si>
  <si>
    <t>하급 스태프</t>
  </si>
  <si>
    <t>하급 스태프</t>
    <phoneticPr fontId="4" type="noConversion"/>
  </si>
  <si>
    <t>중급 스태프</t>
  </si>
  <si>
    <t>중급 스태프</t>
    <phoneticPr fontId="4" type="noConversion"/>
  </si>
  <si>
    <t>상급 스태프</t>
  </si>
  <si>
    <t>상급 스태프</t>
    <phoneticPr fontId="4" type="noConversion"/>
  </si>
  <si>
    <t>중급 완드</t>
  </si>
  <si>
    <t>중급 완드</t>
    <phoneticPr fontId="4" type="noConversion"/>
  </si>
  <si>
    <t>상급 완드</t>
  </si>
  <si>
    <t>상급 완드</t>
    <phoneticPr fontId="4" type="noConversion"/>
  </si>
  <si>
    <t>기본 제공 무기</t>
    <phoneticPr fontId="4" type="noConversion"/>
  </si>
  <si>
    <t>최상급 무기</t>
    <phoneticPr fontId="4" type="noConversion"/>
  </si>
  <si>
    <t>전열 특화 무기</t>
    <phoneticPr fontId="4" type="noConversion"/>
  </si>
  <si>
    <t>후열 특화 무기</t>
    <phoneticPr fontId="4" type="noConversion"/>
  </si>
  <si>
    <t>공격 특화 무기</t>
    <phoneticPr fontId="4" type="noConversion"/>
  </si>
  <si>
    <t>강타</t>
    <phoneticPr fontId="4" type="noConversion"/>
  </si>
  <si>
    <t>적 유닛 1명에게 150% 대미지를 준다. (전열 우선)</t>
    <phoneticPr fontId="4" type="noConversion"/>
  </si>
  <si>
    <t>숏보우</t>
    <phoneticPr fontId="4" type="noConversion"/>
  </si>
  <si>
    <t>더블 클로</t>
    <phoneticPr fontId="4" type="noConversion"/>
  </si>
  <si>
    <t>신성한 주먹</t>
    <phoneticPr fontId="4" type="noConversion"/>
  </si>
  <si>
    <t>회전 베기</t>
    <phoneticPr fontId="4" type="noConversion"/>
  </si>
  <si>
    <t>매직 미사일</t>
    <phoneticPr fontId="4" type="noConversion"/>
  </si>
  <si>
    <t>성광</t>
    <phoneticPr fontId="4" type="noConversion"/>
  </si>
  <si>
    <t>성스러운 일격</t>
    <phoneticPr fontId="4" type="noConversion"/>
  </si>
  <si>
    <t>정밀 조준</t>
    <phoneticPr fontId="4" type="noConversion"/>
  </si>
  <si>
    <t>속사</t>
    <phoneticPr fontId="4" type="noConversion"/>
  </si>
  <si>
    <t>마력 방출</t>
    <phoneticPr fontId="4" type="noConversion"/>
  </si>
  <si>
    <t>장비 시스템은 캐릭터의 전투 성능을 보조하는 요소로,
프로토타입 단계에서는 무기만 사용한다.
무기는 공격력 증가와 전용 스킬을 제공하며,
장비 교체 및 강화는 영지에서 수행된다. (영지 시스템 작성 예정)
장비 데이터는 단일 구조로 관리하며,
인덱스를 통해 무기/방어구/장신구를 구분한다.
무기는 클래스당 기본 무기가 착용된 상태로 시작되며, 장비창에서 무기를 공란으로 둘 수 없다.
무기 내구도는 존재하지 존재하지 않는다.
몬스터는 장비를 착용하지 않은 것으로 간주한다.
향후 방어구 및 장신구가 추가될 예정이며,
클래스가 전열/후열에 관계없이 활용될 수 있도록
스테이터스를 보완하는 방향으로 확장한다.</t>
    <phoneticPr fontId="4" type="noConversion"/>
  </si>
  <si>
    <t>착용 무기</t>
    <phoneticPr fontId="4" type="noConversion"/>
  </si>
  <si>
    <t>착용 무기 스킬</t>
    <phoneticPr fontId="4" type="noConversion"/>
  </si>
  <si>
    <t>파티 멤버</t>
    <phoneticPr fontId="4" type="noConversion"/>
  </si>
  <si>
    <t>사용 가능 스킬1</t>
    <phoneticPr fontId="4" type="noConversion"/>
  </si>
  <si>
    <t>사용 가능 스킬2</t>
    <phoneticPr fontId="4" type="noConversion"/>
  </si>
  <si>
    <t>일렬 베기</t>
    <phoneticPr fontId="4" type="noConversion"/>
  </si>
  <si>
    <t>현재 클래스</t>
    <phoneticPr fontId="4" type="noConversion"/>
  </si>
  <si>
    <t>사용 가능 스킬3</t>
  </si>
  <si>
    <t>사용 가능 스킬4</t>
  </si>
  <si>
    <t>사용 가능 스킬5</t>
  </si>
  <si>
    <t>사용 가능 스킬6</t>
  </si>
  <si>
    <t>사용 가능 스킬7</t>
  </si>
  <si>
    <t>정밀 사격</t>
  </si>
  <si>
    <t>착용 가능 무기1</t>
    <phoneticPr fontId="4" type="noConversion"/>
  </si>
  <si>
    <t>착용 가능 무기2</t>
    <phoneticPr fontId="4" type="noConversion"/>
  </si>
  <si>
    <t>착용 가능 무기3</t>
    <phoneticPr fontId="4" type="noConversion"/>
  </si>
  <si>
    <t>하급 활</t>
    <phoneticPr fontId="4" type="noConversion"/>
  </si>
  <si>
    <t>하급 완드</t>
    <phoneticPr fontId="4" type="noConversion"/>
  </si>
  <si>
    <t>착용 직업 스킬</t>
    <phoneticPr fontId="4" type="noConversion"/>
  </si>
  <si>
    <t>착용 직업 스킬 설명</t>
    <phoneticPr fontId="4" type="noConversion"/>
  </si>
  <si>
    <t>착용 무기 스킬 설명</t>
    <phoneticPr fontId="4" type="noConversion"/>
  </si>
  <si>
    <t>무기 추가 스테이터스</t>
    <phoneticPr fontId="4" type="noConversion"/>
  </si>
  <si>
    <t>무기 및 무기 스킬 콘텐츠</t>
    <phoneticPr fontId="4" type="noConversion"/>
  </si>
  <si>
    <t>V1.3</t>
    <phoneticPr fontId="4" type="noConversion"/>
  </si>
  <si>
    <t>경험치</t>
    <phoneticPr fontId="4" type="noConversion"/>
  </si>
  <si>
    <t>ExperiencePoint</t>
    <phoneticPr fontId="4" type="noConversion"/>
  </si>
  <si>
    <t>드롭 아이템 1 인덱스</t>
    <phoneticPr fontId="4" type="noConversion"/>
  </si>
  <si>
    <t>드롭 아이템 1 드롭 수량</t>
    <phoneticPr fontId="4" type="noConversion"/>
  </si>
  <si>
    <t>드롭 아이템 1 드롭 확률</t>
    <phoneticPr fontId="4" type="noConversion"/>
  </si>
  <si>
    <t>DropItem1Index</t>
    <phoneticPr fontId="4" type="noConversion"/>
  </si>
  <si>
    <t>DropItem1Count</t>
    <phoneticPr fontId="4" type="noConversion"/>
  </si>
  <si>
    <t>DropItem1Rate</t>
    <phoneticPr fontId="4" type="noConversion"/>
  </si>
  <si>
    <t>n % 단위로 표기</t>
    <phoneticPr fontId="4" type="noConversion"/>
  </si>
  <si>
    <t>n % 단위로 표기, 70% ≥ CriticalRate</t>
    <phoneticPr fontId="4" type="noConversion"/>
  </si>
  <si>
    <t>n % 단위로 표기, 70% ≥ CounterRate</t>
    <phoneticPr fontId="4" type="noConversion"/>
  </si>
  <si>
    <t>n % 단위로 표기, 70% ≥ ReduceRate</t>
    <phoneticPr fontId="4" type="noConversion"/>
  </si>
  <si>
    <t>프로토 타입 단계에서는 드롭 수량 고정, 아이템 시스템 확정 후 일반/소비 아이템이 추가될 경우 랜덤 수량으로 확장 가능</t>
    <phoneticPr fontId="4" type="noConversion"/>
  </si>
  <si>
    <t>드롭 아이템 1
인덱스</t>
    <phoneticPr fontId="4" type="noConversion"/>
  </si>
  <si>
    <t>드롭 아이템 1
드롭 수량</t>
    <phoneticPr fontId="4" type="noConversion"/>
  </si>
  <si>
    <t>드롭 아이템 1
드롭 확률</t>
    <phoneticPr fontId="4" type="noConversion"/>
  </si>
  <si>
    <t>무기 등 적군 유닛이 드롭하는 아이템 인덱스 리스트, 예시) {310101,310201,310301,310401} (균등 확률로 랜덤 드롭)
프로토 타입에서는 리스트는 1개로 제한, 아이템 시스템 확정 후 드롭 리스트 최대 2개까지 확장 가능</t>
    <phoneticPr fontId="4" type="noConversion"/>
  </si>
  <si>
    <t>{310101,310201,310301,310401}</t>
    <phoneticPr fontId="4" type="noConversion"/>
  </si>
  <si>
    <t>{310102,310202,310302,310402}</t>
    <phoneticPr fontId="4" type="noConversion"/>
  </si>
  <si>
    <t>{310103,310203,310303,310403}</t>
    <phoneticPr fontId="4" type="noConversion"/>
  </si>
  <si>
    <t>스킬 복수 대상</t>
    <phoneticPr fontId="4" type="noConversion"/>
  </si>
  <si>
    <t>SkillMultiTarget</t>
    <phoneticPr fontId="4" type="noConversion"/>
  </si>
  <si>
    <t>타깃(0)</t>
    <phoneticPr fontId="4" type="noConversion"/>
  </si>
  <si>
    <t>SkillMultiTargetType</t>
    <phoneticPr fontId="4" type="noConversion"/>
  </si>
  <si>
    <t>스킬 복수 대상 타입</t>
    <phoneticPr fontId="4" type="noConversion"/>
  </si>
  <si>
    <t>int</t>
    <phoneticPr fontId="4" type="noConversion"/>
  </si>
  <si>
    <t>SkillMultiTargetCount</t>
    <phoneticPr fontId="4" type="noConversion"/>
  </si>
  <si>
    <t>1. 복수 스킬 타깃 판정용 필드 추가: 스킬 복수 대상, 스킬 복수 대상 타입, 스킬 복수 대상 수
2. 적군 유닛 시트 및 필드 정의 추가: 경험치, 드롭 아이템 인덱스, 드롭 수량, 드롭 확률</t>
    <phoneticPr fontId="4" type="noConversion"/>
  </si>
  <si>
    <t>WeaponSkillSubValue</t>
    <phoneticPr fontId="4" type="noConversion"/>
  </si>
  <si>
    <t>무기 스킬 추가 계수</t>
    <phoneticPr fontId="4" type="noConversion"/>
  </si>
  <si>
    <t>스킬 대상(SkillTarget)이 1인 경우 사용
복수 대상 스킬이 선택된 최초 타깃(0)을 기준으로 한 추가 타깃 후보 위치 목록 (범위 내 유닛이 존재하는 칸만 유효 타깃으로 처리, 범위 밖 무시)
근거리 스킬의 최초 선택 타깃은 기존 전열 우선 규칙을 따른다.
* 추가 타깃 포지션 번호
타깃 중복: 0, 상단: 1, 우상단: 2, 우측: 3, 우하단: 4, 하단: 5, 좌하단: 6, 좌측: 7, 좌상단: 8</t>
    <phoneticPr fontId="4" type="noConversion"/>
  </si>
  <si>
    <t>스킬 대상(SkillTarget)이 1인 경우 사용
서로 다른 계수를 가진 복수 범위 스킬, 여러 번 공격하는 스킬 등에 사용</t>
    <phoneticPr fontId="4" type="noConversion"/>
  </si>
  <si>
    <t>스킬 복수 대상 타입(SkillMultiTargetType)이 1인 경우 사용</t>
    <phoneticPr fontId="4" type="noConversion"/>
  </si>
  <si>
    <t>스킬 대상(SkillTarget)이 1인 경우 사용
0 추가 타깃 후보 전체 적용
1 추가 타깃 후보 중 n명 랜덤 선택</t>
    <phoneticPr fontId="4" type="noConversion"/>
  </si>
  <si>
    <t>스킬 복수 추가 대상 수</t>
    <phoneticPr fontId="4" type="noConversion"/>
  </si>
  <si>
    <t>{1,3,5}</t>
    <phoneticPr fontId="4" type="noConversion"/>
  </si>
  <si>
    <t>ClassSkillMultiTarget</t>
    <phoneticPr fontId="4" type="noConversion"/>
  </si>
  <si>
    <t>ClassSkill
MultiTargetType</t>
    <phoneticPr fontId="4" type="noConversion"/>
  </si>
  <si>
    <t>ClassSkill
MultiTargetCount</t>
    <phoneticPr fontId="4" type="noConversion"/>
  </si>
  <si>
    <t>직업 스킬 복수 대상
(스킬 대상 1일 경우)</t>
    <phoneticPr fontId="4" type="noConversion"/>
  </si>
  <si>
    <t>직업 스킬 
복수 추가 대상 수
(스킬 대상 1일 경우)</t>
    <phoneticPr fontId="4" type="noConversion"/>
  </si>
  <si>
    <t>{3}</t>
    <phoneticPr fontId="4" type="noConversion"/>
  </si>
  <si>
    <t>{0}</t>
    <phoneticPr fontId="4" type="noConversion"/>
  </si>
  <si>
    <t>{1,5}</t>
    <phoneticPr fontId="4" type="noConversion"/>
  </si>
  <si>
    <t>직업 스킬 
복수 대상 타입
(0 후보 전체 1 랜덤)
(스킬 대상 1일 경우)</t>
    <phoneticPr fontId="4" type="noConversion"/>
  </si>
  <si>
    <t>WeaponSkillMultiTarget</t>
    <phoneticPr fontId="4" type="noConversion"/>
  </si>
  <si>
    <t>WeaponSkill
MultiTargetType</t>
    <phoneticPr fontId="4" type="noConversion"/>
  </si>
  <si>
    <t>WeaponSkill
MultiTargetCount</t>
    <phoneticPr fontId="4" type="noConversion"/>
  </si>
  <si>
    <t>무기 스킬 복수 대상
(스킬 대상 1일 경우)</t>
    <phoneticPr fontId="4" type="noConversion"/>
  </si>
  <si>
    <t>무기 스킬 
복수 대상 타입
(0 후보 전체 1 랜덤)
(스킬 대상 1일 경우)</t>
    <phoneticPr fontId="4" type="noConversion"/>
  </si>
  <si>
    <t>무기 스킬 
복수 추가 대상 수
(스킬 대상 1일 경우)</t>
    <phoneticPr fontId="4" type="noConversion"/>
  </si>
  <si>
    <t>EnemySkill1MultiTarget</t>
    <phoneticPr fontId="4" type="noConversion"/>
  </si>
  <si>
    <t>EnemySkill1
MultiTargetType</t>
    <phoneticPr fontId="4" type="noConversion"/>
  </si>
  <si>
    <t>EnemySkill1
MultiTargetCount</t>
    <phoneticPr fontId="4" type="noConversion"/>
  </si>
  <si>
    <t>EnemySkill2MultiTarget</t>
    <phoneticPr fontId="4" type="noConversion"/>
  </si>
  <si>
    <t>EnemySkill2
MultiTargetType</t>
    <phoneticPr fontId="4" type="noConversion"/>
  </si>
  <si>
    <t>EnemySkill2
MultiTargetCount</t>
    <phoneticPr fontId="4" type="noConversion"/>
  </si>
  <si>
    <t>적군 스킬 1 복수 대상
(스킬 대상 1일 경우)</t>
    <phoneticPr fontId="4" type="noConversion"/>
  </si>
  <si>
    <t>적군 스킬 1
복수 대상 타입
(0 후보 전체 1 랜덤)
(스킬 대상 1일 경우)</t>
    <phoneticPr fontId="4" type="noConversion"/>
  </si>
  <si>
    <t>적군 스킬 1
복수 추가 대상 수
(스킬 대상 1일 경우)</t>
    <phoneticPr fontId="4" type="noConversion"/>
  </si>
  <si>
    <t>적군 스킬 2 복수 대상
(스킬 대상 1일 경우)</t>
    <phoneticPr fontId="4" type="noConversion"/>
  </si>
  <si>
    <t>적군 스킬 2
복수 대상 타입
(0 후보 전체 1 랜덤)
(스킬 대상 1일 경우)</t>
    <phoneticPr fontId="4" type="noConversion"/>
  </si>
  <si>
    <t>적군 스킬 2
복수 추가 대상 수
(스킬 대상 1일 경우)</t>
    <phoneticPr fontId="4" type="noConversion"/>
  </si>
  <si>
    <t>상대 전열 또는 후열 단일 공격 (전열 우선)</t>
    <phoneticPr fontId="4" type="noConversion"/>
  </si>
  <si>
    <t>상대 1열을 전체 공격 (전열 우선)</t>
    <phoneticPr fontId="4" type="noConversion"/>
  </si>
  <si>
    <t>V2.0</t>
    <phoneticPr fontId="4" type="noConversion"/>
  </si>
  <si>
    <t>1. 유닛 단위 정의</t>
    <phoneticPr fontId="4" type="noConversion"/>
  </si>
  <si>
    <t>1) 유닛</t>
    <phoneticPr fontId="4" type="noConversion"/>
  </si>
  <si>
    <t>2. 단위별 스테이터스</t>
    <phoneticPr fontId="4" type="noConversion"/>
  </si>
  <si>
    <t>부대 체력</t>
    <phoneticPr fontId="4" type="noConversion"/>
  </si>
  <si>
    <t>부대 공격력</t>
    <phoneticPr fontId="4" type="noConversion"/>
  </si>
  <si>
    <t>부대 방어력</t>
    <phoneticPr fontId="4" type="noConversion"/>
  </si>
  <si>
    <t>범례</t>
    <phoneticPr fontId="4" type="noConversion"/>
  </si>
  <si>
    <t>타 시트에서 가져오는 값</t>
    <phoneticPr fontId="4" type="noConversion"/>
  </si>
  <si>
    <t>이 시트에서 계산되는 값</t>
    <phoneticPr fontId="4" type="noConversion"/>
  </si>
  <si>
    <t>이 시트에서 바꾸는 값</t>
    <phoneticPr fontId="4" type="noConversion"/>
  </si>
  <si>
    <t>고정치</t>
    <phoneticPr fontId="4" type="noConversion"/>
  </si>
  <si>
    <t>캐릭터  최종 스테이터스</t>
    <phoneticPr fontId="4" type="noConversion"/>
  </si>
  <si>
    <t>5. 최종 스테이터스</t>
    <phoneticPr fontId="4" type="noConversion"/>
  </si>
  <si>
    <t>방어력</t>
    <phoneticPr fontId="4" type="noConversion"/>
  </si>
  <si>
    <t>1. 유닛 수 추가 → 단계별 스테이터스 정의
2. 스탯 시뮬레이터 재생성</t>
    <phoneticPr fontId="4" type="noConversion"/>
  </si>
  <si>
    <t>V2.1</t>
    <phoneticPr fontId="4" type="noConversion"/>
  </si>
  <si>
    <t>3. 성장 시스템 수정 (유닛/유닛 그룹 분화 반영)
4. 적군 유닛 → 적군 유닛 그룹 개편
5. 1:1 전투 시뮬레이터</t>
    <phoneticPr fontId="4" type="noConversion"/>
  </si>
  <si>
    <t>1. 전투 시뮬레이터 목표 및 개요 (1:1 기준)</t>
    <phoneticPr fontId="4" type="noConversion"/>
  </si>
  <si>
    <t>2. 전투 시뮬레이터</t>
    <phoneticPr fontId="4" type="noConversion"/>
  </si>
  <si>
    <t>아군 유닛 그룹</t>
    <phoneticPr fontId="4" type="noConversion"/>
  </si>
  <si>
    <t>최종 스테이터스</t>
    <phoneticPr fontId="4" type="noConversion"/>
  </si>
  <si>
    <t>최종 공격력</t>
    <phoneticPr fontId="4" type="noConversion"/>
  </si>
  <si>
    <t>최종 방어력</t>
    <phoneticPr fontId="4" type="noConversion"/>
  </si>
  <si>
    <t>최종 체력</t>
    <phoneticPr fontId="4" type="noConversion"/>
  </si>
  <si>
    <t>최종 반격율
(미사용)</t>
    <phoneticPr fontId="4" type="noConversion"/>
  </si>
  <si>
    <t>최종 치명타율
(미사용)</t>
    <phoneticPr fontId="4" type="noConversion"/>
  </si>
  <si>
    <t>최종 회피율
(미사용)</t>
    <phoneticPr fontId="4" type="noConversion"/>
  </si>
  <si>
    <t>스킬 계수</t>
    <phoneticPr fontId="4" type="noConversion"/>
  </si>
  <si>
    <t>턴수</t>
    <phoneticPr fontId="4" type="noConversion"/>
  </si>
  <si>
    <t>기본 대미지</t>
    <phoneticPr fontId="4" type="noConversion"/>
  </si>
  <si>
    <t>아군 &gt; 적 공격 시
남은 적 체력</t>
    <phoneticPr fontId="4" type="noConversion"/>
  </si>
  <si>
    <t>걸린 턴</t>
    <phoneticPr fontId="4" type="noConversion"/>
  </si>
  <si>
    <t>워리어</t>
  </si>
  <si>
    <t>아처</t>
  </si>
  <si>
    <t>메이지</t>
  </si>
  <si>
    <t>클레릭</t>
  </si>
  <si>
    <t>나이트</t>
    <phoneticPr fontId="4" type="noConversion"/>
  </si>
  <si>
    <t>하급 도끼</t>
  </si>
  <si>
    <t>중급 도끼</t>
  </si>
  <si>
    <t>상급 도끼</t>
  </si>
  <si>
    <t>평균적인 능력치를 지닌 근거리 병종</t>
    <phoneticPr fontId="4" type="noConversion"/>
  </si>
  <si>
    <t>{5010,5020,5030,5040,5050,5060,5070}</t>
    <phoneticPr fontId="4" type="noConversion"/>
  </si>
  <si>
    <t>{310501,310502,310503,310504,310505,310506,310507}</t>
    <phoneticPr fontId="4" type="noConversion"/>
  </si>
  <si>
    <t>워리어</t>
    <phoneticPr fontId="4" type="noConversion"/>
  </si>
  <si>
    <t>워리어</t>
    <phoneticPr fontId="4" type="noConversion"/>
  </si>
  <si>
    <t>아처</t>
    <phoneticPr fontId="4" type="noConversion"/>
  </si>
  <si>
    <t>메이지</t>
    <phoneticPr fontId="4" type="noConversion"/>
  </si>
  <si>
    <t>클레릭</t>
    <phoneticPr fontId="4" type="noConversion"/>
  </si>
  <si>
    <t>하급 검</t>
    <phoneticPr fontId="4" type="noConversion"/>
  </si>
  <si>
    <t>중급 검</t>
    <phoneticPr fontId="4" type="noConversion"/>
  </si>
  <si>
    <t>상급 검</t>
    <phoneticPr fontId="4" type="noConversion"/>
  </si>
  <si>
    <t>검기</t>
  </si>
  <si>
    <t>기합</t>
  </si>
  <si>
    <t>검기</t>
    <phoneticPr fontId="4" type="noConversion"/>
  </si>
  <si>
    <t>정면 베기</t>
    <phoneticPr fontId="4" type="noConversion"/>
  </si>
  <si>
    <t>급소 찌르기</t>
    <phoneticPr fontId="4" type="noConversion"/>
  </si>
  <si>
    <t>후열 돌파</t>
    <phoneticPr fontId="4" type="noConversion"/>
  </si>
  <si>
    <t>연속 베기</t>
    <phoneticPr fontId="4" type="noConversion"/>
  </si>
  <si>
    <t>결투</t>
    <phoneticPr fontId="4" type="noConversion"/>
  </si>
  <si>
    <t>전술 베기</t>
    <phoneticPr fontId="4" type="noConversion"/>
  </si>
  <si>
    <t>강습</t>
    <phoneticPr fontId="4" type="noConversion"/>
  </si>
  <si>
    <t>베어가르기</t>
    <phoneticPr fontId="4" type="noConversion"/>
  </si>
  <si>
    <t>{0}</t>
    <phoneticPr fontId="4" type="noConversion"/>
  </si>
  <si>
    <t xml:space="preserve">적 1명에게 120% 대미지를 입힌다. 아군과 적군이 각각 1명씩 남았을 경우 200% 대미지를 입힌다. </t>
    <phoneticPr fontId="4" type="noConversion"/>
  </si>
  <si>
    <t>적 1명에게 120% 대미지를 입힌다. 대상이 전열일 경우 150% 대미지를 입힌다. (적 전열이 있을 경우, 전열 우선 공격)</t>
    <phoneticPr fontId="4" type="noConversion"/>
  </si>
  <si>
    <t>적 1명에게 90% 대미지를 두 번 입힌다.  (적 전열이 있을 경우, 전열 우선 공격, 치명타, 회피율 판정은 각각 계산한다.)</t>
    <phoneticPr fontId="4" type="noConversion"/>
  </si>
  <si>
    <t>적의 후열에 100% 근접 대미지를 준다. 적의 후열이 없는 경우, 전열에 50% 대미지를 준다.</t>
    <phoneticPr fontId="4" type="noConversion"/>
  </si>
  <si>
    <t>적 1명에게 150% 대미지를 입힌다. (후열 공격 가능)</t>
    <phoneticPr fontId="4" type="noConversion"/>
  </si>
  <si>
    <t>적의 체력이 낮을 수록 높은 대미지를 입힌다. (기본 100% + 적의 최대 체력 대비 현재 체력 10%가 낮아질 때마다 10% 추가, 최대 150%)(적 전열이 있을 경우, 전열 우선 공격)</t>
    <phoneticPr fontId="4" type="noConversion"/>
  </si>
  <si>
    <t>적 1명에게 치명타 확률이 20% 높은 120% 대미지를 입힌다. (적 전열이 있을 경우, 전열 우선 공격)</t>
    <phoneticPr fontId="4" type="noConversion"/>
  </si>
  <si>
    <t>환영 공격</t>
    <phoneticPr fontId="4" type="noConversion"/>
  </si>
  <si>
    <t>적군 유닛 그룹</t>
    <phoneticPr fontId="4" type="noConversion"/>
  </si>
  <si>
    <t>기본 대미지 최소치</t>
    <phoneticPr fontId="4" type="noConversion"/>
  </si>
  <si>
    <t>적군 부대
인덱스</t>
    <phoneticPr fontId="4" type="noConversion"/>
  </si>
  <si>
    <t>EnemyArmy
Index</t>
    <phoneticPr fontId="4" type="noConversion"/>
  </si>
  <si>
    <t>유닛 그룹1</t>
    <phoneticPr fontId="4" type="noConversion"/>
  </si>
  <si>
    <t>유닛 그룹2</t>
    <phoneticPr fontId="4" type="noConversion"/>
  </si>
  <si>
    <t>유닛 그룹3</t>
    <phoneticPr fontId="4" type="noConversion"/>
  </si>
  <si>
    <t>유닛 그룹4</t>
    <phoneticPr fontId="4" type="noConversion"/>
  </si>
  <si>
    <t>Enemy
UnitGroup1</t>
    <phoneticPr fontId="4" type="noConversion"/>
  </si>
  <si>
    <t>Enemy
UnitGroup2</t>
    <phoneticPr fontId="4" type="noConversion"/>
  </si>
  <si>
    <t>Enemy
UnitGroup3</t>
    <phoneticPr fontId="4" type="noConversion"/>
  </si>
  <si>
    <t>Enemy
UnitGroup4</t>
    <phoneticPr fontId="4" type="noConversion"/>
  </si>
  <si>
    <t>AIType</t>
    <phoneticPr fontId="4" type="noConversion"/>
  </si>
  <si>
    <t>AI 행동 패턴
(0: 공격형, 
1: 균형형, 2: 안정형)</t>
    <phoneticPr fontId="4" type="noConversion"/>
  </si>
  <si>
    <t>몬스터 우선 확률</t>
    <phoneticPr fontId="4" type="noConversion"/>
  </si>
  <si>
    <t>Player
TargetRate</t>
    <phoneticPr fontId="4" type="noConversion"/>
  </si>
  <si>
    <t>Monster
TargetRate</t>
    <phoneticPr fontId="4" type="noConversion"/>
  </si>
  <si>
    <t>Resource
TargetRate</t>
    <phoneticPr fontId="4" type="noConversion"/>
  </si>
  <si>
    <t>적군 부대 인덱스</t>
    <phoneticPr fontId="4" type="noConversion"/>
  </si>
  <si>
    <t>V3.1</t>
    <phoneticPr fontId="4" type="noConversion"/>
  </si>
  <si>
    <t>적 부대 AI 시트 추가</t>
    <phoneticPr fontId="4" type="noConversion"/>
  </si>
  <si>
    <t>EnemyArmyIndex</t>
    <phoneticPr fontId="4" type="noConversion"/>
  </si>
  <si>
    <t>3로 시작하는 다섯 자리 자연수로 표기, 예시) 30001</t>
    <phoneticPr fontId="4" type="noConversion"/>
  </si>
  <si>
    <t>6. 적군 부대</t>
    <phoneticPr fontId="4" type="noConversion"/>
  </si>
  <si>
    <t>7. 직업 스킬</t>
    <phoneticPr fontId="4" type="noConversion"/>
  </si>
  <si>
    <t>EnemyUnitGroup1~4</t>
    <phoneticPr fontId="4" type="noConversion"/>
  </si>
  <si>
    <t>적군 유닛 그룹 1~4</t>
    <phoneticPr fontId="4" type="noConversion"/>
  </si>
  <si>
    <t>부대에 소속된 적군 유닛 부대 인덱스, 1 또는 2로 시작하는 다섯 자리 자연수로 표기, 예시) 10001
유닛이 4명 미만인 경우 빈칸은 공란</t>
    <phoneticPr fontId="4" type="noConversion"/>
  </si>
  <si>
    <t>AIType</t>
    <phoneticPr fontId="4" type="noConversion"/>
  </si>
  <si>
    <t>적군 부대 AI 타입</t>
    <phoneticPr fontId="4" type="noConversion"/>
  </si>
  <si>
    <t>Combat
TargetRate</t>
    <phoneticPr fontId="4" type="noConversion"/>
  </si>
  <si>
    <t>적 영지/부대 확률</t>
    <phoneticPr fontId="4" type="noConversion"/>
  </si>
  <si>
    <t>인식 범위</t>
    <phoneticPr fontId="4" type="noConversion"/>
  </si>
  <si>
    <t>이동 거리</t>
    <phoneticPr fontId="4" type="noConversion"/>
  </si>
  <si>
    <t>Recognition
Range</t>
    <phoneticPr fontId="4" type="noConversion"/>
  </si>
  <si>
    <t>Move
Distance</t>
    <phoneticPr fontId="4" type="noConversion"/>
  </si>
  <si>
    <t>ResourceTargetRate</t>
    <phoneticPr fontId="4" type="noConversion"/>
  </si>
  <si>
    <t>CombatTargetRate</t>
    <phoneticPr fontId="4" type="noConversion"/>
  </si>
  <si>
    <t>MonsterTargetRate</t>
    <phoneticPr fontId="4" type="noConversion"/>
  </si>
  <si>
    <t>PlayerTargetRate</t>
    <phoneticPr fontId="4" type="noConversion"/>
  </si>
  <si>
    <t>RecognitionRange</t>
    <phoneticPr fontId="4" type="noConversion"/>
  </si>
  <si>
    <t>MoveDistance</t>
    <phoneticPr fontId="4" type="noConversion"/>
  </si>
  <si>
    <t>적군 부대가 상호작용 가능한 오브젝트를 인식할 수 있는 타일 칸수</t>
    <phoneticPr fontId="4" type="noConversion"/>
  </si>
  <si>
    <t>적군 부대가 한 턴에 움직일 수 있는 최대 거리</t>
    <phoneticPr fontId="4" type="noConversion"/>
  </si>
  <si>
    <t>자원/적 생산지 우선 확률</t>
    <phoneticPr fontId="4" type="noConversion"/>
  </si>
  <si>
    <t>전투 우선 확률</t>
    <phoneticPr fontId="4" type="noConversion"/>
  </si>
  <si>
    <t>인식 범위</t>
    <phoneticPr fontId="4" type="noConversion"/>
  </si>
  <si>
    <t>이동 거리</t>
    <phoneticPr fontId="4" type="noConversion"/>
  </si>
  <si>
    <t>V4.0</t>
    <phoneticPr fontId="4" type="noConversion"/>
  </si>
  <si>
    <t>2) 부대</t>
    <phoneticPr fontId="4" type="noConversion"/>
  </si>
  <si>
    <t>유닛 체력</t>
    <phoneticPr fontId="4" type="noConversion"/>
  </si>
  <si>
    <t>유닛 공격력</t>
    <phoneticPr fontId="4" type="noConversion"/>
  </si>
  <si>
    <t>유닛 방어력</t>
    <phoneticPr fontId="4" type="noConversion"/>
  </si>
  <si>
    <t>유닛이 생존하기 위해 지닌 체력</t>
    <phoneticPr fontId="4" type="noConversion"/>
  </si>
  <si>
    <t>유닛이 지닌 공격력, 유닛 대미지 계산에 사용된다</t>
    <phoneticPr fontId="4" type="noConversion"/>
  </si>
  <si>
    <t>유닛이 지닌 방어력, 유닛 대미지 계산에 사용된다</t>
    <phoneticPr fontId="4" type="noConversion"/>
  </si>
  <si>
    <t>유닛 시민 호감도</t>
    <phoneticPr fontId="4" type="noConversion"/>
  </si>
  <si>
    <t>유닛 랭크</t>
    <phoneticPr fontId="4" type="noConversion"/>
  </si>
  <si>
    <t>* 유닛 최대 체력 &gt; 0
* 유닛 최대 체력 &gt; 유닛 현재 체력
* 유닛 현재 체력이 0일 경우 리타이어 상태 전환</t>
    <phoneticPr fontId="4" type="noConversion"/>
  </si>
  <si>
    <t xml:space="preserve"> 시민 호감도(Influence)는 각 유닛이 보유하는 전투 자원으로, 시민의 지지를 통해 형성된 전투력의 크기를 나타낸다.
 호감도는 유닛 단위로 개별 관리되며, 전투 및 탐사 과정에서 증가하거나 감소한다. 현재 호감도는 해당 유닛의 전투 성능에 직접적으로 영향을 주며, 스킬 계수에 반영된다.</t>
    <phoneticPr fontId="4" type="noConversion"/>
  </si>
  <si>
    <t>* 모든 유닛의 현재 유닛 공격력 합 × 부대 공격력 계수(기본값 1)</t>
    <phoneticPr fontId="4" type="noConversion"/>
  </si>
  <si>
    <t>* 모든 유닛의 현재 유닛 방어력 합 × 부대 방어력 계수(기본값 1)</t>
    <phoneticPr fontId="4" type="noConversion"/>
  </si>
  <si>
    <t>부대 전투력</t>
    <phoneticPr fontId="4" type="noConversion"/>
  </si>
  <si>
    <t>플레이어가 상대와 자신의 전력차를 가늠해 볼 수 있도록 부대 내 유닛들의 강함을 숫자로 표기</t>
    <phoneticPr fontId="4" type="noConversion"/>
  </si>
  <si>
    <t>《Hero Influence》 전투 데이터 테이블</t>
    <phoneticPr fontId="4" type="noConversion"/>
  </si>
  <si>
    <t>2) 부대 스테이터스 (인카운트 전투 진입 전 적군 부대의 전투력을 가늠하기 위해 사용)</t>
    <phoneticPr fontId="4" type="noConversion"/>
  </si>
  <si>
    <t>* 기본 피해량 = (공격 유닛 공격력 - 피격 유닛 방어력) × 스킬 계수 × 유닛 시민 호감도 보정</t>
    <phoneticPr fontId="4" type="noConversion"/>
  </si>
  <si>
    <t>유닛이 공격했을 때, 치명타가 발생할 확률</t>
    <phoneticPr fontId="4" type="noConversion"/>
  </si>
  <si>
    <t>전열 유닛이 공격을 받았을 때 반격할 확률</t>
    <phoneticPr fontId="4" type="noConversion"/>
  </si>
  <si>
    <t>후열 유닛이 공격을 받았을 때 대미지를 경감시킬 확률</t>
    <phoneticPr fontId="4" type="noConversion"/>
  </si>
  <si>
    <t>매 랭크 업 시, 유닛 스테이터스 증가
Lv1 직업 스킬 (기본 스킬)
Lv2 최대 시민 호감도 증가
Lv3 직업 스킬
Lv4 최대 시민 호감도 증가
Lv5 직업 스킬
Lv6 최대 시민 호감도 증가
Lv7 직업 스킬
Lv8 최대 시민 호감도 증가
Lv9 최대 시민 호감도 증가
Lv10 직업 스킬
Lv11 최대 시민 호감도 증가
Lv12 직업 스킬
Lv13 최대 시민 호감도 증가
Lv14 최대 시민 호감도 증가
Lv15 직업 스킬</t>
    <phoneticPr fontId="4" type="noConversion"/>
  </si>
  <si>
    <t>전투 시 유닛의 행동 순서를 1차적으로 정하기 위한 기준값</t>
    <phoneticPr fontId="4" type="noConversion"/>
  </si>
  <si>
    <t>부대 내 모든 유닛의 방어력 합</t>
    <phoneticPr fontId="4" type="noConversion"/>
  </si>
  <si>
    <t>부대 내 모든 유닛의 공격력 합, 탐험 필드 내 NPC간 전투에서 필드 기본 피해량 계산에 사용된다</t>
    <phoneticPr fontId="4" type="noConversion"/>
  </si>
  <si>
    <t>부대 내 모든 유닛의 현재 체력 합</t>
    <phoneticPr fontId="4" type="noConversion"/>
  </si>
  <si>
    <t>* 부대 전투력 = 부대 체력 + 부대 공격력 + 부대 방어력</t>
    <phoneticPr fontId="4" type="noConversion"/>
  </si>
  <si>
    <t>* 모든 유닛의 현재 유닛 체력 합 × 부대 체력 계수(기본값 1)</t>
    <phoneticPr fontId="4" type="noConversion"/>
  </si>
  <si>
    <t>유닛(Unit)은
전투에서 직접 행동하는 최소 단위이며
(V2.0-3.0의 유닛-유닛 그룹-부대 구조에서 V1.0의 유닛-부대 구조로 복귀한다),
각 유닛은 랭크(기존 레벨 개념)에 따라 성장하는 독립적인 스테이터스(체력, 공격력, 방어력, 치명타율, 반격률, 피해 경감률, 스피드)와 호감도(기존 유닛수 대체)를 가진다.
유닛은 클래스에 따라 외형 및 보유 스킬, 역할이 구분된다.</t>
    <phoneticPr fontId="4" type="noConversion"/>
  </si>
  <si>
    <t>* 유닛 최대 호감도 &gt; 유닛 현재 호감도
* 기본 유닛 호감도 100(현재)/200(최대)
* 호감도 계수 = 현재 호감도 / 100
  예시) 기본 시민 호감도 100일 때 호감도 보정 100%
  0일 때 호감도 보정 0%, 200일 때 호감도 보정 200%
* 유닛 현재 호감도가 0일 경우, 호감도 소모 스킬 사용 불가</t>
    <phoneticPr fontId="4" type="noConversion"/>
  </si>
  <si>
    <t>부대는 2×3 슬롯으로 구성되며,
프로토타입 기준으로 플레이어 부대는 4개의 유닛 + 2개의 빈 슬롯으로 구성된다.
인카운터 전투는 1:1 부대 단위로 수행된다.
각 유닛의 유닛 공격력과 유닛 체력, 유닛 방어력을 합산해 부대 전투력을 표시한다.
필드 이동 시 부대 단위로 이동하게 된다.</t>
    <phoneticPr fontId="4" type="noConversion"/>
  </si>
  <si>
    <t>2. 문서 기획 의도</t>
    <phoneticPr fontId="4" type="noConversion"/>
  </si>
  <si>
    <t>3. 문서 범위</t>
    <phoneticPr fontId="4" type="noConversion"/>
  </si>
  <si>
    <t>4. 문서 대상</t>
    <phoneticPr fontId="4" type="noConversion"/>
  </si>
  <si>
    <t xml:space="preserve"> 이 문서는 《Hero Influence》의 전투 시스템에서 사용되는 유닛 스테이터스, 성장 구조, 
 시민 호감도(Influence), 적군 부대 AI 등 시스템을 정의하고, 이를 데이터 테이블 형태로 정리하여
 프로토타입 구현 및 밸런스 조정을 가능하게 하는 것을 목적으로 한다.</t>
    <phoneticPr fontId="4" type="noConversion"/>
  </si>
  <si>
    <t xml:space="preserve"> 이 문서는 다음을 대상으로 한다.
  1) 전투 시스템 기획자
  2) 전투 시스템 프로그래머
  3) 탐사 적 부대 AI 시스템 프로그래머</t>
    <phoneticPr fontId="4" type="noConversion"/>
  </si>
  <si>
    <t xml:space="preserve"> 본 데이터 정리 및 밸런스 조정의 목적은, 플레이어가 원활한 성장 곡선을 체감하며 전략적 선택의 재미를 경험하도록 하는 데 있다.
  1) 아군 및 적군 유닛의 스테이터스와 성장 구조를 통해 플레이어가 전투를 통해 점진적으로 강해지는 성장을 체감하도록 한다.
  2) 시민 호감도(Influence)를 전투 자원으로 활용하여, 플레이어가 매 턴마다 자원을 유지하며 안정적으로 싸울지, 혹은 소모하여 강한 스킬을 사용할지 선택하는 전략적 판단을 경험하도록 한다.
  3) 데이터 테이블 기반 전투 시뮬레이션을 통해 다양한 상황에서의 전투 밸런스를 사전에 검증하고, 플레이어가 예측 가능한 규칙 속에서 결과를 이해하고 납득할 수 있는 전투 경험을 제공하는 것을 목표로 한다.
  4) 호감도를 통해 전투력과 자원 관리가 연결된 구조를 설계하여, 플레이어가 탐사-성장-전투의 흐름 속에서 축적한 성과를 전투에서 직접적으로 활용하는 경험을 제공한다.</t>
    <phoneticPr fontId="4" type="noConversion"/>
  </si>
  <si>
    <t xml:space="preserve"> 이 문서는 다음 내용을 다룬다.
  1) 스테이터스 정의 및 규칙 → '스테이터스' 시트
  2) 성장 시스템 정의 및 랭크별 스테이터스 증가 규칙 + 필요 경험치 테이블 → '성장 시스템' 시트	
  3) 아군 직업별 스테이터스 → '아군 유닛' 시트
  4) 적군 스테이터스 및 스킬 사용 우선 순위 테이블 → '적군 유닛' 시트
  5) 적군 부대 행동 우선 순위 테이블 → '적군 부대 AI' 시트
  6) 직업 스킬 테이블 → '직업 스킬' 시트
  7) 무기 및 무기 스킬 테이블 → '무기' 시트
  8) (밸런스) 랭크별 스테이터스 변동 계산 → '스탯 시뮬레이터' 시트
  9) (밸런스) 전투 대미지 계산 → '전투 시뮬레이터' 시트
    - 유닛 단위 전투 시뮬레이션을 통해 전투 결과, 턴 수, 피해량, 승패 등을 확인한다.</t>
    <phoneticPr fontId="4" type="noConversion"/>
  </si>
  <si>
    <t>3. 유닛 랭크업 추가 스테이터스</t>
    <phoneticPr fontId="4" type="noConversion"/>
  </si>
  <si>
    <t>유닛이 경험치를 통해 올릴 수 있는 등급
A-Z 사이 대문자 알파벳으로 표시한다.
유닛이 다음 랭크에 도달할 때마다 다음 중 일부 효과가 적용된다. (구체적인 성장 공식 및 랭크별 받는 효과는 성장 시스템 시트 참조)
1. 일부 유닛 스테이터스(최대 체력, 공격력, 방어력)에 랭크업 보정치를 추가
2. 특정 랭크에 신규 직업 스킬 습득
3. 특정 랭크마다 유닛 최대 시민 호감도 증가</t>
    <phoneticPr fontId="4" type="noConversion"/>
  </si>
  <si>
    <t>1) 경험치는 인카운트 전투 승리 시 획득한다. (전투 패배 시에는 획득하지 않는다.)
2) 얻는 총 경험치는 쓰러트린 모든 적의 경험치 합산이다.
3) 전투 승리 시 생존 상태의 모든 유닛은 
 총 경험치 ÷ 부대 내 전체 유닛 수(4)
만큼의 경험치를 균등하게 나눠 얻는다. 
4) 딱 나눠 떨어지지 않을 경우, 남은 경험치는 누적 경험치가 가장 낮은 임의의 유닛에게 돌아간다.
5) 리타이어한 유닛 몫의 경험치는 상실된다. (의도: 특정 유닛을 의도적으로 리타이어 상태로 유지하여 경험치를 집중시키는 플레이를 방지하기 위함)
예시)
게임 시작 시 4인 부대 중 생존 유닛 3명
총 경험치: 30
A (생존): 7
B (생존): 7
C (생존): 9 (7 + 잔여 경함치 2)
D (리타이어): 0 (경험치 7 상실)</t>
    <phoneticPr fontId="4" type="noConversion"/>
  </si>
  <si>
    <t>유닛당 랭크업
필요 경험치</t>
    <phoneticPr fontId="4" type="noConversion"/>
  </si>
  <si>
    <t>S</t>
    <phoneticPr fontId="4" type="noConversion"/>
  </si>
  <si>
    <t>A</t>
    <phoneticPr fontId="4" type="noConversion"/>
  </si>
  <si>
    <t>B</t>
    <phoneticPr fontId="4" type="noConversion"/>
  </si>
  <si>
    <t>C</t>
    <phoneticPr fontId="4" type="noConversion"/>
  </si>
  <si>
    <t>D</t>
    <phoneticPr fontId="4" type="noConversion"/>
  </si>
  <si>
    <t>E</t>
    <phoneticPr fontId="4" type="noConversion"/>
  </si>
  <si>
    <t>F</t>
    <phoneticPr fontId="4" type="noConversion"/>
  </si>
  <si>
    <t>G</t>
    <phoneticPr fontId="4" type="noConversion"/>
  </si>
  <si>
    <t>H</t>
    <phoneticPr fontId="4" type="noConversion"/>
  </si>
  <si>
    <t>I</t>
    <phoneticPr fontId="4" type="noConversion"/>
  </si>
  <si>
    <t>J</t>
    <phoneticPr fontId="4" type="noConversion"/>
  </si>
  <si>
    <t>L</t>
    <phoneticPr fontId="4" type="noConversion"/>
  </si>
  <si>
    <t>K</t>
    <phoneticPr fontId="4" type="noConversion"/>
  </si>
  <si>
    <t>M</t>
    <phoneticPr fontId="4" type="noConversion"/>
  </si>
  <si>
    <t>N</t>
    <phoneticPr fontId="4" type="noConversion"/>
  </si>
  <si>
    <t>기본 
최대 시민 호감도</t>
    <phoneticPr fontId="4" type="noConversion"/>
  </si>
  <si>
    <t xml:space="preserve">최대 시민 호감도 추가 </t>
    <phoneticPr fontId="4" type="noConversion"/>
  </si>
  <si>
    <t>랭크업 시
필요한 전투 수</t>
    <phoneticPr fontId="4" type="noConversion"/>
  </si>
  <si>
    <t>4인 부대
아군 유닛당
획득 경험치</t>
    <phoneticPr fontId="4" type="noConversion"/>
  </si>
  <si>
    <t>2. 랭크업 스테이터스 증가 규칙</t>
    <phoneticPr fontId="4" type="noConversion"/>
  </si>
  <si>
    <t xml:space="preserve"> 1) 유닛 스테이터스는 랭크가 오를 때마다 랭크업 기본 보정치 + 클래스별 추가 보정치가 추가된다.
 2) 랭크업 추가 보정치는 클래스마다 오르는 스테이터스 수치가 다르나 올라가는 총합은 동일하다.
 3) 예시
  - F랭크 워리어, 최대 체력 10
  - E랭크 워리어, 최대 체력 = 10 + 1 (기본 보정치) + 3 (추가 보정치) = 14
  - D랭크 워리어, 최대 체력 = 14 + 1 + 3 = 18</t>
  </si>
  <si>
    <t>몬스터 수 최소값(2) → 랭크업당 2~6번 전투</t>
  </si>
  <si>
    <t>몬스터 수 평균값(4) → 랭크업당 1~3번 전투</t>
  </si>
  <si>
    <t>몬스터 수 최대값(5) → 랭크업당 1~2번 전투</t>
  </si>
  <si>
    <t>동일 랭크 몬스터 1마리 당
평균 경험치</t>
    <phoneticPr fontId="4" type="noConversion"/>
  </si>
  <si>
    <t>적군 {}인 파티 
기준 총 경험치</t>
    <phoneticPr fontId="4" type="noConversion"/>
  </si>
  <si>
    <t xml:space="preserve"> 《Hero Influence》의 전투는 게임의 핵심인 4X (탐험, 확장, 성장, 섬멸) 진행 중 발생하는 턴제 전투가 전체 게임 흐름을 크게 끊지 않도록 하는 것을 목표로 한다.
 이에 따라 성장 시스템은 다음 4가지 방향성을 가진다.
  1) 초반에는 1~2회, 중후반에는 2~3회의 인카운터 전투를 통해 유닛이 랭크업하도록 설계
  2) 전투 템포를 유지하기 위해 체력 및 방어력의 성장률은 완만하게 설계
  3) 공격력이 체력보다 상대적으로 빠르게 성장하도록 설계
  4) 클래스 간 역할 구분은 유지하되, 모든 클래스가 전열과 후열 모두에서 활용 가능하도록 설계
   - 동일 랭크 적 기준, 최소 1회의 공격을 생존할 수 있도록 체력 및 체력 성장률 설계
   - 동일 랭크 적 기준, 1회 공격 시 최소 피해량이 대상 최대 체력의 10~25% 이상이 되도록 설계
  3) 유닛의 기본 전투 성능은 랭크에 따라 결정되지만, 실제 전투 결과에 미치는 영향은 시민 호감도가 더 크게 작용하도록 설계</t>
    <phoneticPr fontId="4" type="noConversion"/>
  </si>
  <si>
    <t xml:space="preserve">  1) 랭크업을 해도 수치가 변하지 않는 스테이터스는 다음과 같다.
  - 치명타율
  - 반격률
  - 피해 경감율
  - 스피드
  (상기 스테이터스는 랭크업으로는 증가하지 않으며, 장비 착용, 진형 효과, 스킬 효과 등으로만 변동)
 2) 랭크업에 따라 수치가 증가하는 스테이터스는 다음과 같다.
  - 유닛 최대 체력
  - 유닛 공격력
  - 유닛 방어력
 3) 유닛 랭크업 시, 유닛의 현재 체력은 최대 체력으로 회복된다.
 4) 지정된 랭크 달성 직후, 최대 시민 호감도가 증가한다. (오르는 랭크 시점 및 양은 전투 경험치 테이블 참조)
 5) 유닛 시민 현재 호감도는  증가하지 않으며, 기존 수치를 그대로 유지한다.</t>
    <phoneticPr fontId="4" type="noConversion"/>
  </si>
  <si>
    <t>현재는 단순 구분용, 추후 종류가 늘어날 경우 자원/적 생산지 우선 확률 자동 계산되도록 설계
0 공격형: 인식 범위 내 자원 또는 생산지 우선
1 균형형: 인식 범위 내 자원 / 전투 균등 확률 랜덤 결정 
2 자원형: 인식 범위 내 전투(중립 몬스터, 플레이어 진영 부대, 플레이어 진영 성) 우선</t>
    <phoneticPr fontId="4" type="noConversion"/>
  </si>
  <si>
    <t>몬스터 우선 확률 (보류)</t>
    <phoneticPr fontId="4" type="noConversion"/>
  </si>
  <si>
    <t>적 영지/부대 확률 (보류)</t>
    <phoneticPr fontId="4" type="noConversion"/>
  </si>
  <si>
    <t>1차 분기 (ResourceTargetRate + CombatTargetRate = 100%)
n % 단위로 표기, 적군 부대가 자원/생산지와 플레이어/플레이어성 중 자원/생산지로 이동을 우선시할 확률 (우선순위: 생산지 &gt; 자원)</t>
    <phoneticPr fontId="4" type="noConversion"/>
  </si>
  <si>
    <t>1차 분기
n % 단위로 표기, 적군 부대가 자원/생산지와 플레이어/플레이어성 중 플레이어/플레이어성으로 이동을 우선시할 확률 (우선순위: 성 &gt; 플레이어)</t>
    <phoneticPr fontId="4" type="noConversion"/>
  </si>
  <si>
    <t xml:space="preserve">* 보류 (몬스터 vs 적군 부대 전투 없음)
2차 분기 (MonsterTargetRate + PlayerTargetRate = 100%)
n % 단위로 표기, 1차 분기 중 전투일 때, 적군 부대가 몬스터와 플레이어 중 몬스터와 전투를 우선시할 확률 </t>
    <phoneticPr fontId="4" type="noConversion"/>
  </si>
  <si>
    <t>* 보류 (몬스터 vs 적군 부대 전투 없음)
n % 단위로 표기, 1차 분기 중 전투일 때, 적군 부대가 몬스터와 플레이어 중 플레이어와 전투를 우선시할 확률 (우선순위: 성 &gt; 플레이어)</t>
    <phoneticPr fontId="4" type="noConversion"/>
  </si>
  <si>
    <t>플레이어/플레이어 성
전투 우선 확률
(성 &gt; 플레이어)</t>
    <phoneticPr fontId="4" type="noConversion"/>
  </si>
  <si>
    <t>자원/생산지
 우선 확률
(생산지 &gt; 자원)</t>
    <phoneticPr fontId="4" type="noConversion"/>
  </si>
  <si>
    <t>유닛 최대 체력</t>
    <phoneticPr fontId="4" type="noConversion"/>
  </si>
  <si>
    <t>랭크업 유닛 최대 체력
= 유닛 최대 체력
+ {(레벨업 기본 보정치
+ 클래스 기본 보정치)}
× 레벨</t>
    <phoneticPr fontId="4" type="noConversion"/>
  </si>
  <si>
    <t>랭크업 유닛 공격력
= 유닛 공격력
+ {(레벨업 기본 보정치
+ 클래스 기본 보정치)}
× 레벨</t>
    <phoneticPr fontId="4" type="noConversion"/>
  </si>
  <si>
    <t>랭크업 유닛 방어력
= 유닛 방어력
+ {(레벨업 기본 보정치
+ 클래스 기본 보정치)}
× 레벨</t>
    <phoneticPr fontId="4" type="noConversion"/>
  </si>
  <si>
    <t>최대 시민 호감도</t>
    <phoneticPr fontId="4" type="noConversion"/>
  </si>
  <si>
    <t>최대 호감도</t>
    <phoneticPr fontId="4" type="noConversion"/>
  </si>
  <si>
    <t>랭크</t>
    <phoneticPr fontId="4" type="noConversion"/>
  </si>
  <si>
    <t>현재 랭크</t>
    <phoneticPr fontId="4" type="noConversion"/>
  </si>
  <si>
    <t>랭크 표시</t>
    <phoneticPr fontId="4" type="noConversion"/>
  </si>
  <si>
    <t>레벨</t>
    <phoneticPr fontId="4" type="noConversion"/>
  </si>
  <si>
    <t>나이트</t>
    <phoneticPr fontId="4" type="noConversion"/>
  </si>
  <si>
    <t>힐</t>
  </si>
  <si>
    <t>UnitDEF</t>
    <phoneticPr fontId="4" type="noConversion"/>
  </si>
  <si>
    <t>UnitATK</t>
    <phoneticPr fontId="4" type="noConversion"/>
  </si>
  <si>
    <t>UnitMaxHP</t>
    <phoneticPr fontId="4" type="noConversion"/>
  </si>
  <si>
    <t>UnitMaxHP &gt; 0</t>
    <phoneticPr fontId="4" type="noConversion"/>
  </si>
  <si>
    <t>999 &gt; UnitATK &gt; 0</t>
    <phoneticPr fontId="4" type="noConversion"/>
  </si>
  <si>
    <t>999 &gt; UnitDEF &gt; 0</t>
    <phoneticPr fontId="4" type="noConversion"/>
  </si>
  <si>
    <t>기본 보정치</t>
    <phoneticPr fontId="4" type="noConversion"/>
  </si>
  <si>
    <t>메이지</t>
    <phoneticPr fontId="4" type="noConversion"/>
  </si>
  <si>
    <t>아처</t>
    <phoneticPr fontId="4" type="noConversion"/>
  </si>
  <si>
    <t>클레릭</t>
    <phoneticPr fontId="4" type="noConversion"/>
  </si>
  <si>
    <t>클래스별
추가 보정치</t>
    <phoneticPr fontId="4" type="noConversion"/>
  </si>
  <si>
    <t>1. 아군 유닛 스테이터스</t>
  </si>
  <si>
    <t>2. 유닛 레벨업 스테이터스</t>
  </si>
  <si>
    <t>3. 유닛 무기 스테이터스</t>
  </si>
  <si>
    <t>4. 유닛 스킬</t>
  </si>
  <si>
    <t>유닛 레벨</t>
  </si>
  <si>
    <t>파이어볼</t>
  </si>
  <si>
    <t>현재 호감도</t>
    <phoneticPr fontId="4" type="noConversion"/>
  </si>
  <si>
    <t>유닛명</t>
    <phoneticPr fontId="4" type="noConversion"/>
  </si>
  <si>
    <t>유닛 레벨</t>
    <phoneticPr fontId="4" type="noConversion"/>
  </si>
  <si>
    <t>적 &gt; 아군 공격 시
남은 아군 체력</t>
    <phoneticPr fontId="4" type="noConversion"/>
  </si>
  <si>
    <t>2. 대미지 계산 공식</t>
    <phoneticPr fontId="4" type="noConversion"/>
  </si>
  <si>
    <t>본 시뮬레이터는 1:1 전투 기준에서 클래스별 전투 성능과 전투 소요 턴을 검증하기 위한 도구이다.
프로토타입 기준 목표 전투 시간은 다음과 같다:
- 공격형 클래스: 2~3턴 내 승리
- 밸런스형 클래스: 3~4턴 내 승리
- 방어형 클래스: 4~6턴 내 승리</t>
    <phoneticPr fontId="4" type="noConversion"/>
  </si>
  <si>
    <t>최대 호감도</t>
    <phoneticPr fontId="4" type="noConversion"/>
  </si>
  <si>
    <t>최종 스피드
(미사용)</t>
    <phoneticPr fontId="4" type="noConversion"/>
  </si>
  <si>
    <t>기본 대미지는 다음 순서로 계산한다.
1) 공격력과 방어력의 차이를 구한다.
   damageBase = 공격력 - 방어력
2) 스킬 계수를 곱한다.
   damageBase = damageBase × 스킬 계수
3) 호감도 보정치를 곱한다.
   damageBase = damageBase × (현재 호감도 / 100)
4) 계산 결과를 정수로 변환한다.
   소수점이 발생할 경우, 소수 첫째 자리에서 반올림한다.
   (예: 14.4 → 14, 16.5 → 17)
최종 대미지는 다음 규칙을 따른다.
1) 기본 대미지가 2 미만일 경우, 2로 고정한다. (음수 포함)
2) 그 외의 경우, 기본 대미지를 그대로 사용한다.</t>
    <phoneticPr fontId="4" type="noConversion"/>
  </si>
  <si>
    <t>시민 호감도 시스템 추가 및 이에 따른 아군 유닛 스테이터스 구조 변경
1) 유닛-유닛그룹-부대 → 유닛-부대 구조 복귀
2) 성장 시스템 개편
3) 아군 유닛, 적군 유닛, 스탯 시뮬레이터, 전투 시뮬레이터 반영 및 기초 밸런스
4) 적군 부대 AI 간략화</t>
    <phoneticPr fontId="4" type="noConversion"/>
  </si>
  <si>
    <t>LowerMonster</t>
  </si>
  <si>
    <t>int</t>
    <phoneticPr fontId="4" type="noConversion"/>
  </si>
  <si>
    <t>IPCost</t>
    <phoneticPr fontId="4" type="noConversion"/>
  </si>
  <si>
    <t>IP 코스트</t>
    <phoneticPr fontId="4" type="noConversion"/>
  </si>
  <si>
    <t>스킬 사용에 필요한 IP 량</t>
    <phoneticPr fontId="4" type="noConversion"/>
  </si>
  <si>
    <t>HeroType</t>
    <phoneticPr fontId="4" type="noConversion"/>
  </si>
  <si>
    <t>HeroName</t>
    <phoneticPr fontId="4" type="noConversion"/>
  </si>
  <si>
    <t>유닛명 (예정)</t>
    <phoneticPr fontId="4" type="noConversion"/>
  </si>
  <si>
    <t>히어로 타입 (예정)</t>
    <phoneticPr fontId="4" type="noConversion"/>
  </si>
  <si>
    <t>히어로 유형, 예시) 인간, 사이보그, 수인 등</t>
    <phoneticPr fontId="4" type="noConversion"/>
  </si>
  <si>
    <t>히어로 이름</t>
    <phoneticPr fontId="4" type="noConversion"/>
  </si>
  <si>
    <t>IP 코스트</t>
    <phoneticPr fontId="4" type="noConversion"/>
  </si>
  <si>
    <t>적 유닛 1명에게 기합을 날려 원거리 대미지 180%를 준다.</t>
    <phoneticPr fontId="4" type="noConversion"/>
  </si>
  <si>
    <t>적 유닛 1명에게 250% 대미지를 준다. (전열 우선)</t>
    <phoneticPr fontId="4" type="noConversion"/>
  </si>
  <si>
    <t>적 모든 유닛에게 120% 대미지를 준다.</t>
    <phoneticPr fontId="4" type="noConversion"/>
  </si>
  <si>
    <t>적 1명에게 80% 대미지를 주고, 인접한 적 1명에게 추가로 80% 대미지를 준다. (근거리로 취급하나 후열 공격 가능)</t>
    <phoneticPr fontId="4" type="noConversion"/>
  </si>
  <si>
    <t xml:space="preserve">적 유닛 1명에게 150% 대미지를 준다. </t>
    <phoneticPr fontId="4" type="noConversion"/>
  </si>
  <si>
    <t>적 유닛 한 명에게 120% 대미지를 주는 화살을 두 발 발사한다. (확률 보정은 독립적으로 진행)</t>
    <phoneticPr fontId="4" type="noConversion"/>
  </si>
  <si>
    <t>적 한 열의 적에게 화살을 발사하여 120% 대미지를 준다 (전열 우선)</t>
    <phoneticPr fontId="4" type="noConversion"/>
  </si>
  <si>
    <t>자신이 후열일 경우 후열 공격이 가능하다. 근거리 공격 180% 대미지를 준다. (후열이 아닌 경우 전열 우선)</t>
    <phoneticPr fontId="4" type="noConversion"/>
  </si>
  <si>
    <t>적 모든 유닛에게 150% 대미지를 주고, 입힌 피해만큼 체력을 회복한다.</t>
    <phoneticPr fontId="4" type="noConversion"/>
  </si>
  <si>
    <t>적 유닛 1명을 신성력을 두른 완드로 근접 타격하여 180% 대미지를 준다. (전열 우선)</t>
    <phoneticPr fontId="4" type="noConversion"/>
  </si>
  <si>
    <t>적 유닛 1명에게 150% 대미지를 준다.</t>
    <phoneticPr fontId="4" type="noConversion"/>
  </si>
  <si>
    <t>V4.1</t>
    <phoneticPr fontId="4" type="noConversion"/>
  </si>
  <si>
    <t>스킬 코스트 추가</t>
    <phoneticPr fontId="4" type="noConversion"/>
  </si>
  <si>
    <t>아군 1명 체력 30% 회복, IP 10 고정 회복</t>
    <phoneticPr fontId="4" type="noConversion"/>
  </si>
  <si>
    <t>아군 1명의 체력을 회복한다. (기본 5 + 최대 체력 대비 현재 체력 20%가 낮아질 때마다 15 추가, 최대 50)</t>
    <phoneticPr fontId="4" type="noConversion"/>
  </si>
  <si>
    <t>아군 1명의 체력을 10% 회복하고, 인접한 아군 1명의 체력을 10% 추가 회복한다.</t>
    <phoneticPr fontId="4" type="noConversion"/>
  </si>
  <si>
    <t>적 1명에게 100% 대미지를 입히고, 입힌 대미지 만큼 아군의 1명의 IP 회복 (최대 20)</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</si>
</sst>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 #,##0_-;_-* &quot;-&quot;_-;_-@_-"/>
    <numFmt numFmtId="176" formatCode="yy\/mm\/dd\ \(aaa\)"/>
    <numFmt numFmtId="177" formatCode="0_ "/>
    <numFmt numFmtId="178" formatCode="0.0"/>
  </numFmts>
  <fonts count="13" x14ac:knownFonts="1">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8"/>
      <name val="맑은 고딕"/>
      <family val="2"/>
      <charset val="129"/>
      <scheme val="minor"/>
    </font>
    <font>
      <sz val="24"/>
      <color theme="1"/>
      <name val="맑은 고딕"/>
      <family val="2"/>
      <charset val="129"/>
      <scheme val="minor"/>
    </font>
    <font>
      <sz val="11"/>
      <color theme="1"/>
      <name val="맑은 고딕"/>
      <family val="2"/>
      <charset val="129"/>
      <scheme val="minor"/>
    </font>
    <font>
      <sz val="11"/>
      <color theme="1"/>
      <name val="맑은 고딕"/>
      <family val="3"/>
      <charset val="129"/>
      <scheme val="minor"/>
    </font>
    <font>
      <sz val="11"/>
      <name val="맑은 고딕"/>
      <family val="2"/>
      <charset val="129"/>
      <scheme val="minor"/>
    </font>
    <font>
      <sz val="11"/>
      <name val="맑은 고딕"/>
      <family val="3"/>
      <charset val="129"/>
      <scheme val="minor"/>
    </font>
    <font>
      <b/>
      <sz val="11"/>
      <color theme="0"/>
      <name val="맑은 고딕"/>
      <family val="2"/>
      <charset val="129"/>
      <scheme val="minor"/>
    </font>
    <font>
      <b/>
      <sz val="11"/>
      <color rgb="FFFA7D00"/>
      <name val="맑은 고딕"/>
      <family val="2"/>
      <charset val="129"/>
      <scheme val="minor"/>
    </font>
    <font>
      <sz val="7"/>
      <color rgb="FF0D0D0D"/>
      <name val="Consolas"/>
      <family val="3"/>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theme="0"/>
        <bgColor indexed="64"/>
      </patternFill>
    </fill>
    <fill>
      <patternFill patternType="solid">
        <fgColor theme="2"/>
        <bgColor indexed="64"/>
      </patternFill>
    </fill>
    <fill>
      <patternFill patternType="solid">
        <fgColor rgb="FFFFFFCC"/>
      </patternFill>
    </fill>
    <fill>
      <patternFill patternType="solid">
        <fgColor rgb="FFA5A5A5"/>
      </patternFill>
    </fill>
    <fill>
      <patternFill patternType="solid">
        <fgColor rgb="FFF2F2F2"/>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rgb="FFB2B2B2"/>
      </left>
      <right style="thin">
        <color rgb="FFB2B2B2"/>
      </right>
      <top style="thin">
        <color rgb="FFB2B2B2"/>
      </top>
      <bottom style="thin">
        <color rgb="FFB2B2B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double">
        <color indexed="64"/>
      </right>
      <top style="thin">
        <color indexed="64"/>
      </top>
      <bottom style="thin">
        <color indexed="64"/>
      </bottom>
      <diagonal/>
    </border>
    <border>
      <left style="double">
        <color rgb="FF3F3F3F"/>
      </left>
      <right style="double">
        <color rgb="FF3F3F3F"/>
      </right>
      <top style="double">
        <color rgb="FF3F3F3F"/>
      </top>
      <bottom style="double">
        <color rgb="FF3F3F3F"/>
      </bottom>
      <diagonal/>
    </border>
    <border>
      <left style="double">
        <color indexed="64"/>
      </left>
      <right style="double">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right style="thin">
        <color rgb="FF7F7F7F"/>
      </right>
      <top style="thin">
        <color rgb="FF7F7F7F"/>
      </top>
      <bottom style="thin">
        <color rgb="FF7F7F7F"/>
      </bottom>
      <diagonal/>
    </border>
    <border>
      <left/>
      <right style="double">
        <color rgb="FF3F3F3F"/>
      </right>
      <top style="double">
        <color rgb="FF3F3F3F"/>
      </top>
      <bottom/>
      <diagonal/>
    </border>
  </borders>
  <cellStyleXfs count="8">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4" borderId="0" applyNumberFormat="0" applyBorder="0" applyAlignment="0" applyProtection="0">
      <alignment vertical="center"/>
    </xf>
    <xf numFmtId="9" fontId="6" fillId="0" borderId="0" applyFont="0" applyFill="0" applyBorder="0" applyAlignment="0" applyProtection="0">
      <alignment vertical="center"/>
    </xf>
    <xf numFmtId="0" fontId="6" fillId="7" borderId="2" applyNumberFormat="0" applyFont="0" applyAlignment="0" applyProtection="0">
      <alignment vertical="center"/>
    </xf>
    <xf numFmtId="0" fontId="10" fillId="8" borderId="10" applyNumberFormat="0" applyAlignment="0" applyProtection="0">
      <alignment vertical="center"/>
    </xf>
    <xf numFmtId="0" fontId="11" fillId="9" borderId="12" applyNumberFormat="0" applyAlignment="0" applyProtection="0">
      <alignment vertical="center"/>
    </xf>
  </cellStyleXfs>
  <cellXfs count="127">
    <xf numFmtId="0" fontId="0" fillId="0" borderId="0" xfId="0">
      <alignment vertical="center"/>
    </xf>
    <xf numFmtId="0" fontId="0" fillId="5" borderId="0" xfId="0" applyFill="1">
      <alignment vertical="center"/>
    </xf>
    <xf numFmtId="0" fontId="0" fillId="5" borderId="1" xfId="0" applyFill="1" applyBorder="1">
      <alignment vertical="center"/>
    </xf>
    <xf numFmtId="0" fontId="3" fillId="4" borderId="1" xfId="3" applyBorder="1">
      <alignment vertical="center"/>
    </xf>
    <xf numFmtId="0" fontId="1" fillId="2" borderId="1" xfId="1" applyBorder="1" applyAlignment="1">
      <alignment horizontal="center" vertical="center" wrapText="1"/>
    </xf>
    <xf numFmtId="0" fontId="1" fillId="2" borderId="1" xfId="1" applyBorder="1" applyAlignment="1">
      <alignment horizontal="center" vertical="center"/>
    </xf>
    <xf numFmtId="0" fontId="2" fillId="3" borderId="1" xfId="2" applyBorder="1">
      <alignment vertical="center"/>
    </xf>
    <xf numFmtId="0" fontId="0" fillId="0" borderId="1" xfId="0" applyBorder="1">
      <alignment vertical="center"/>
    </xf>
    <xf numFmtId="0" fontId="0" fillId="5" borderId="1" xfId="0" applyFill="1" applyBorder="1" applyAlignment="1">
      <alignment horizontal="center" vertical="center"/>
    </xf>
    <xf numFmtId="0" fontId="0" fillId="5" borderId="1" xfId="0" applyFill="1" applyBorder="1" applyAlignment="1">
      <alignment horizontal="left" vertical="center" wrapText="1"/>
    </xf>
    <xf numFmtId="0" fontId="0" fillId="6" borderId="1" xfId="0" applyFill="1" applyBorder="1" applyAlignment="1">
      <alignment horizontal="center" vertical="center"/>
    </xf>
    <xf numFmtId="0" fontId="0" fillId="6" borderId="1" xfId="0" applyFill="1" applyBorder="1" applyAlignment="1">
      <alignment horizontal="left" vertical="center" wrapText="1"/>
    </xf>
    <xf numFmtId="176" fontId="1" fillId="2" borderId="1" xfId="1" applyNumberFormat="1" applyBorder="1" applyAlignment="1">
      <alignment horizontal="center" vertical="center"/>
    </xf>
    <xf numFmtId="176" fontId="0" fillId="5" borderId="1" xfId="0" applyNumberFormat="1" applyFill="1" applyBorder="1" applyAlignment="1">
      <alignment horizontal="center" vertical="center"/>
    </xf>
    <xf numFmtId="0" fontId="5" fillId="5" borderId="0" xfId="0" applyFont="1" applyFill="1">
      <alignment vertical="center"/>
    </xf>
    <xf numFmtId="0" fontId="0" fillId="5" borderId="1" xfId="0" applyFill="1" applyBorder="1" applyAlignment="1">
      <alignment vertical="center" wrapText="1"/>
    </xf>
    <xf numFmtId="0" fontId="0" fillId="5" borderId="0" xfId="0" applyFill="1" applyAlignment="1">
      <alignment horizontal="center" vertical="center"/>
    </xf>
    <xf numFmtId="0" fontId="7" fillId="5" borderId="0" xfId="0" applyFont="1" applyFill="1">
      <alignment vertical="center"/>
    </xf>
    <xf numFmtId="0" fontId="0" fillId="5" borderId="1" xfId="0" applyFill="1" applyBorder="1" applyAlignment="1">
      <alignment horizontal="center" vertical="center" wrapText="1"/>
    </xf>
    <xf numFmtId="0" fontId="0" fillId="5" borderId="5" xfId="0" applyFill="1" applyBorder="1" applyAlignment="1">
      <alignment horizontal="left" vertical="center"/>
    </xf>
    <xf numFmtId="0" fontId="0" fillId="5" borderId="0" xfId="0" applyFill="1" applyAlignment="1">
      <alignment horizontal="left" vertical="center" wrapText="1"/>
    </xf>
    <xf numFmtId="0" fontId="0" fillId="5" borderId="1" xfId="0" applyFill="1" applyBorder="1" applyAlignment="1">
      <alignment horizontal="left" vertical="center"/>
    </xf>
    <xf numFmtId="0" fontId="3" fillId="4" borderId="6" xfId="3" applyBorder="1" applyAlignment="1">
      <alignment vertical="center"/>
    </xf>
    <xf numFmtId="0" fontId="3" fillId="4" borderId="7" xfId="3" applyBorder="1" applyAlignment="1">
      <alignment vertical="center"/>
    </xf>
    <xf numFmtId="0" fontId="3" fillId="4" borderId="8" xfId="3" applyBorder="1" applyAlignment="1">
      <alignment vertical="center"/>
    </xf>
    <xf numFmtId="177" fontId="0" fillId="5" borderId="1" xfId="0" applyNumberFormat="1" applyFill="1" applyBorder="1">
      <alignment vertical="center"/>
    </xf>
    <xf numFmtId="177" fontId="2" fillId="3" borderId="1" xfId="2" applyNumberFormat="1" applyBorder="1">
      <alignment vertical="center"/>
    </xf>
    <xf numFmtId="177" fontId="3" fillId="4" borderId="1" xfId="3" applyNumberFormat="1" applyBorder="1">
      <alignment vertical="center"/>
    </xf>
    <xf numFmtId="0" fontId="7" fillId="5" borderId="1" xfId="0" applyFont="1" applyFill="1" applyBorder="1" applyAlignment="1">
      <alignment horizontal="center" vertical="center"/>
    </xf>
    <xf numFmtId="0" fontId="7" fillId="5" borderId="1" xfId="0" applyFont="1" applyFill="1" applyBorder="1">
      <alignment vertical="center"/>
    </xf>
    <xf numFmtId="0" fontId="7" fillId="5" borderId="0" xfId="0" applyFont="1" applyFill="1" applyAlignment="1">
      <alignment horizontal="center" vertical="center"/>
    </xf>
    <xf numFmtId="9" fontId="0" fillId="5" borderId="1" xfId="0" applyNumberFormat="1" applyFill="1" applyBorder="1" applyAlignment="1">
      <alignment horizontal="center" vertical="center"/>
    </xf>
    <xf numFmtId="3" fontId="0" fillId="5" borderId="1" xfId="0" applyNumberFormat="1" applyFill="1" applyBorder="1" applyAlignment="1">
      <alignment horizontal="center" vertical="center" wrapText="1"/>
    </xf>
    <xf numFmtId="9" fontId="0" fillId="5" borderId="1" xfId="4" applyFont="1" applyFill="1" applyBorder="1" applyAlignment="1">
      <alignment horizontal="center" vertical="center"/>
    </xf>
    <xf numFmtId="0" fontId="1" fillId="2" borderId="5" xfId="1" applyBorder="1" applyAlignment="1">
      <alignment horizontal="center" vertical="center"/>
    </xf>
    <xf numFmtId="0" fontId="0" fillId="5" borderId="5" xfId="0" applyFill="1" applyBorder="1" applyAlignment="1">
      <alignment horizontal="center" vertical="center"/>
    </xf>
    <xf numFmtId="0" fontId="0" fillId="6" borderId="5" xfId="0" applyFill="1" applyBorder="1" applyAlignment="1">
      <alignment horizontal="center" vertical="center"/>
    </xf>
    <xf numFmtId="0" fontId="1" fillId="2" borderId="9" xfId="1" applyBorder="1" applyAlignment="1">
      <alignment horizontal="center" vertical="center" wrapText="1"/>
    </xf>
    <xf numFmtId="0" fontId="1" fillId="2" borderId="9" xfId="1" applyBorder="1" applyAlignment="1">
      <alignment horizontal="center" vertical="center"/>
    </xf>
    <xf numFmtId="0" fontId="0" fillId="5" borderId="9" xfId="0" applyFill="1" applyBorder="1" applyAlignment="1">
      <alignment horizontal="center" vertical="center"/>
    </xf>
    <xf numFmtId="0" fontId="0" fillId="6" borderId="9" xfId="0" applyFill="1" applyBorder="1" applyAlignment="1">
      <alignment horizontal="center" vertical="center"/>
    </xf>
    <xf numFmtId="0" fontId="1" fillId="2" borderId="5" xfId="1" applyBorder="1" applyAlignment="1">
      <alignment horizontal="center" vertical="center" wrapText="1"/>
    </xf>
    <xf numFmtId="0" fontId="0" fillId="5" borderId="5" xfId="0" applyFill="1" applyBorder="1" applyAlignment="1">
      <alignment horizontal="left" vertical="center" wrapText="1"/>
    </xf>
    <xf numFmtId="0" fontId="0" fillId="5" borderId="9" xfId="0" applyFill="1" applyBorder="1" applyAlignment="1">
      <alignment horizontal="left" vertical="center" wrapText="1"/>
    </xf>
    <xf numFmtId="0" fontId="7" fillId="5" borderId="1" xfId="0" applyFont="1" applyFill="1" applyBorder="1" applyAlignment="1">
      <alignment horizontal="center" vertical="center" wrapText="1"/>
    </xf>
    <xf numFmtId="0" fontId="0" fillId="6" borderId="1" xfId="0" applyFill="1" applyBorder="1" applyAlignment="1">
      <alignment horizontal="center" vertical="center" wrapText="1"/>
    </xf>
    <xf numFmtId="9" fontId="0" fillId="6" borderId="1" xfId="0" applyNumberFormat="1" applyFill="1" applyBorder="1" applyAlignment="1">
      <alignment horizontal="center" vertical="center"/>
    </xf>
    <xf numFmtId="0" fontId="0" fillId="6" borderId="1" xfId="0" applyFill="1" applyBorder="1" applyAlignment="1">
      <alignment horizontal="left" vertical="center"/>
    </xf>
    <xf numFmtId="0" fontId="3" fillId="4" borderId="1" xfId="3" applyBorder="1" applyAlignment="1">
      <alignment horizontal="center" vertical="center"/>
    </xf>
    <xf numFmtId="9" fontId="3" fillId="4" borderId="1" xfId="3" applyNumberFormat="1" applyBorder="1" applyAlignment="1">
      <alignment horizontal="center" vertical="center"/>
    </xf>
    <xf numFmtId="0" fontId="0" fillId="5" borderId="0" xfId="0" applyFill="1" applyAlignment="1">
      <alignment horizontal="left" vertical="center"/>
    </xf>
    <xf numFmtId="0" fontId="2" fillId="3" borderId="1" xfId="2" applyBorder="1" applyAlignment="1">
      <alignment horizontal="center" vertical="center"/>
    </xf>
    <xf numFmtId="0" fontId="10" fillId="8" borderId="10" xfId="6" applyAlignment="1">
      <alignment horizontal="center" vertical="center"/>
    </xf>
    <xf numFmtId="0" fontId="7" fillId="5" borderId="1" xfId="0" applyFont="1" applyFill="1" applyBorder="1" applyAlignment="1">
      <alignment vertical="center" wrapText="1"/>
    </xf>
    <xf numFmtId="0" fontId="1" fillId="2" borderId="11" xfId="1" applyBorder="1" applyAlignment="1">
      <alignment horizontal="center" vertical="center"/>
    </xf>
    <xf numFmtId="0" fontId="0" fillId="5" borderId="11" xfId="0" applyFill="1" applyBorder="1" applyAlignment="1">
      <alignment horizontal="left" vertical="center"/>
    </xf>
    <xf numFmtId="0" fontId="0" fillId="5" borderId="11" xfId="0" applyFill="1" applyBorder="1" applyAlignment="1">
      <alignment horizontal="center" vertical="center"/>
    </xf>
    <xf numFmtId="0" fontId="0" fillId="5" borderId="3" xfId="0" applyFill="1" applyBorder="1" applyAlignment="1">
      <alignment horizontal="center" vertical="center"/>
    </xf>
    <xf numFmtId="0" fontId="0" fillId="5" borderId="3" xfId="0" applyFill="1" applyBorder="1" applyAlignment="1">
      <alignment horizontal="center" vertical="center" wrapText="1"/>
    </xf>
    <xf numFmtId="0" fontId="8" fillId="7" borderId="1" xfId="5" applyFont="1" applyBorder="1" applyAlignment="1">
      <alignment horizontal="center" vertical="center"/>
    </xf>
    <xf numFmtId="0" fontId="9" fillId="7" borderId="1" xfId="5" applyFont="1" applyBorder="1" applyAlignment="1">
      <alignment horizontal="center" vertical="center"/>
    </xf>
    <xf numFmtId="0" fontId="12" fillId="0" borderId="0" xfId="0" applyFont="1">
      <alignment vertical="center"/>
    </xf>
    <xf numFmtId="0" fontId="1" fillId="2" borderId="1" xfId="1" applyBorder="1">
      <alignment vertical="center"/>
    </xf>
    <xf numFmtId="0" fontId="0" fillId="7" borderId="1" xfId="5" applyFont="1" applyBorder="1" applyAlignment="1">
      <alignment horizontal="center" vertical="center"/>
    </xf>
    <xf numFmtId="0" fontId="2" fillId="3" borderId="1" xfId="2" applyBorder="1" applyAlignment="1">
      <alignment horizontal="left" vertical="center"/>
    </xf>
    <xf numFmtId="0" fontId="8" fillId="7" borderId="1" xfId="5" applyFont="1" applyBorder="1">
      <alignment vertical="center"/>
    </xf>
    <xf numFmtId="0" fontId="11" fillId="9" borderId="12" xfId="7">
      <alignment vertical="center"/>
    </xf>
    <xf numFmtId="0" fontId="11" fillId="9" borderId="12" xfId="7" applyAlignment="1">
      <alignment horizontal="center" vertical="center"/>
    </xf>
    <xf numFmtId="0" fontId="10" fillId="8" borderId="10" xfId="6">
      <alignment vertical="center"/>
    </xf>
    <xf numFmtId="0" fontId="2" fillId="3" borderId="1" xfId="2" applyBorder="1" applyAlignment="1">
      <alignment horizontal="left" vertical="center" wrapText="1"/>
    </xf>
    <xf numFmtId="9" fontId="11" fillId="9" borderId="1" xfId="4" applyFont="1" applyFill="1" applyBorder="1" applyAlignment="1">
      <alignment horizontal="center" vertical="center"/>
    </xf>
    <xf numFmtId="41" fontId="2" fillId="3" borderId="1" xfId="2" applyNumberFormat="1" applyBorder="1" applyAlignment="1">
      <alignment horizontal="center" vertical="center"/>
    </xf>
    <xf numFmtId="9" fontId="2" fillId="3" borderId="1" xfId="4" applyFont="1" applyFill="1" applyBorder="1" applyAlignment="1">
      <alignment horizontal="center" vertical="center"/>
    </xf>
    <xf numFmtId="41" fontId="11" fillId="9" borderId="1" xfId="4" applyNumberFormat="1" applyFont="1" applyFill="1" applyBorder="1" applyAlignment="1">
      <alignment horizontal="center" vertical="center"/>
    </xf>
    <xf numFmtId="0" fontId="1" fillId="2" borderId="1" xfId="1" applyBorder="1" applyAlignment="1">
      <alignment horizontal="center" vertical="center"/>
    </xf>
    <xf numFmtId="0" fontId="1" fillId="2" borderId="1" xfId="1" applyBorder="1" applyAlignment="1">
      <alignment horizontal="center" vertical="center" wrapText="1"/>
    </xf>
    <xf numFmtId="0" fontId="0" fillId="5" borderId="1" xfId="0" applyFill="1" applyBorder="1" applyAlignment="1">
      <alignment horizontal="left" vertical="center" wrapText="1"/>
    </xf>
    <xf numFmtId="0" fontId="9" fillId="7" borderId="1" xfId="5" applyFont="1" applyBorder="1" applyAlignment="1">
      <alignment horizontal="center" vertical="center"/>
    </xf>
    <xf numFmtId="0" fontId="1" fillId="2" borderId="1" xfId="1" applyBorder="1" applyAlignment="1">
      <alignment horizontal="center" vertical="center" wrapText="1"/>
    </xf>
    <xf numFmtId="0" fontId="1" fillId="2" borderId="1" xfId="1" applyBorder="1" applyAlignment="1">
      <alignment horizontal="center" vertical="center"/>
    </xf>
    <xf numFmtId="0" fontId="6" fillId="5" borderId="1" xfId="3" applyFont="1" applyFill="1" applyBorder="1" applyAlignment="1">
      <alignment horizontal="center" vertical="center"/>
    </xf>
    <xf numFmtId="0" fontId="6" fillId="5" borderId="1" xfId="0" applyFont="1" applyFill="1" applyBorder="1" applyAlignment="1">
      <alignment horizontal="center" vertical="center"/>
    </xf>
    <xf numFmtId="0" fontId="2" fillId="3" borderId="5" xfId="2" applyBorder="1" applyAlignment="1">
      <alignment horizontal="center" vertical="center"/>
    </xf>
    <xf numFmtId="0" fontId="8" fillId="7" borderId="5" xfId="5" applyFont="1" applyBorder="1" applyAlignment="1">
      <alignment horizontal="center" vertical="center"/>
    </xf>
    <xf numFmtId="0" fontId="11" fillId="9" borderId="13" xfId="7" applyBorder="1" applyAlignment="1">
      <alignment horizontal="center" vertical="center"/>
    </xf>
    <xf numFmtId="0" fontId="10" fillId="8" borderId="14" xfId="6" applyBorder="1" applyAlignment="1">
      <alignment horizontal="center" vertical="center"/>
    </xf>
    <xf numFmtId="0" fontId="5" fillId="5" borderId="0" xfId="0" applyFont="1" applyFill="1" applyAlignment="1">
      <alignment horizontal="left" vertical="center"/>
    </xf>
    <xf numFmtId="0" fontId="1" fillId="2" borderId="8" xfId="1" applyBorder="1" applyAlignment="1">
      <alignment horizontal="center" vertical="center"/>
    </xf>
    <xf numFmtId="0" fontId="1" fillId="2" borderId="8" xfId="1" applyBorder="1" applyAlignment="1">
      <alignment horizontal="center" vertical="center" wrapText="1"/>
    </xf>
    <xf numFmtId="178" fontId="0" fillId="7" borderId="1" xfId="5" applyNumberFormat="1" applyFont="1" applyBorder="1" applyAlignment="1">
      <alignment horizontal="center" vertical="center"/>
    </xf>
    <xf numFmtId="0" fontId="10" fillId="8" borderId="1" xfId="6" applyBorder="1" applyAlignment="1">
      <alignment horizontal="center" vertical="center"/>
    </xf>
    <xf numFmtId="0" fontId="1" fillId="2" borderId="1" xfId="1" applyBorder="1" applyAlignment="1">
      <alignment horizontal="center" vertical="center"/>
    </xf>
    <xf numFmtId="0" fontId="1" fillId="2" borderId="1" xfId="1" applyBorder="1" applyAlignment="1">
      <alignment horizontal="center" vertical="center"/>
    </xf>
    <xf numFmtId="0" fontId="1" fillId="2" borderId="1" xfId="1" applyBorder="1" applyAlignment="1">
      <alignment horizontal="center" vertical="center" wrapText="1"/>
    </xf>
    <xf numFmtId="0" fontId="7" fillId="5" borderId="0" xfId="0" applyFont="1" applyFill="1" applyBorder="1" applyAlignment="1">
      <alignment horizontal="center" vertical="center"/>
    </xf>
    <xf numFmtId="0" fontId="7" fillId="5" borderId="0" xfId="0" applyFont="1" applyFill="1" applyBorder="1">
      <alignment vertical="center"/>
    </xf>
    <xf numFmtId="0" fontId="0" fillId="5" borderId="1" xfId="0" applyFill="1" applyBorder="1" applyAlignment="1">
      <alignment horizontal="left" vertical="center" wrapText="1"/>
    </xf>
    <xf numFmtId="0" fontId="1" fillId="2" borderId="1" xfId="1" applyBorder="1" applyAlignment="1">
      <alignment horizontal="center" vertical="center"/>
    </xf>
    <xf numFmtId="0" fontId="7" fillId="7" borderId="1" xfId="5" applyFont="1" applyBorder="1" applyAlignment="1">
      <alignment horizontal="center" vertical="center"/>
    </xf>
    <xf numFmtId="0" fontId="1" fillId="2" borderId="1" xfId="1" applyBorder="1" applyAlignment="1">
      <alignment horizontal="center" vertical="center" wrapText="1"/>
    </xf>
    <xf numFmtId="0" fontId="0" fillId="5" borderId="0" xfId="0" applyFill="1" applyBorder="1" applyAlignment="1">
      <alignment horizontal="left" vertical="center" wrapText="1"/>
    </xf>
    <xf numFmtId="0" fontId="0" fillId="0" borderId="1" xfId="0" applyBorder="1" applyAlignment="1">
      <alignment horizontal="center" vertical="center"/>
    </xf>
    <xf numFmtId="0" fontId="10" fillId="8" borderId="10" xfId="6" applyAlignment="1">
      <alignment horizontal="center" vertical="center" wrapText="1"/>
    </xf>
    <xf numFmtId="9" fontId="10" fillId="8" borderId="10" xfId="6" applyNumberFormat="1" applyAlignment="1">
      <alignment horizontal="center" vertical="center"/>
    </xf>
    <xf numFmtId="0" fontId="0" fillId="5" borderId="6" xfId="0" applyFill="1" applyBorder="1" applyAlignment="1">
      <alignment horizontal="center" vertical="center"/>
    </xf>
    <xf numFmtId="0" fontId="7" fillId="5" borderId="6" xfId="0" applyFont="1" applyFill="1" applyBorder="1" applyAlignment="1">
      <alignment horizontal="center" vertical="center"/>
    </xf>
    <xf numFmtId="0" fontId="0" fillId="5" borderId="6" xfId="0" applyFill="1" applyBorder="1" applyAlignment="1">
      <alignment vertical="center" wrapText="1"/>
    </xf>
    <xf numFmtId="0" fontId="0" fillId="5" borderId="8" xfId="0" applyFill="1" applyBorder="1" applyAlignment="1">
      <alignment horizontal="center" vertical="center"/>
    </xf>
    <xf numFmtId="0" fontId="7" fillId="5" borderId="8" xfId="0" applyFont="1" applyFill="1" applyBorder="1" applyAlignment="1">
      <alignment horizontal="center" vertical="center"/>
    </xf>
    <xf numFmtId="0" fontId="0" fillId="5" borderId="8" xfId="0" applyFill="1" applyBorder="1" applyAlignment="1">
      <alignment vertical="center" wrapText="1"/>
    </xf>
    <xf numFmtId="0" fontId="10" fillId="8" borderId="1" xfId="6" applyBorder="1" applyAlignment="1">
      <alignment horizontal="center" vertical="center" wrapText="1"/>
    </xf>
    <xf numFmtId="0" fontId="10" fillId="8" borderId="1" xfId="6" applyBorder="1" applyAlignment="1">
      <alignment vertical="center" wrapText="1"/>
    </xf>
    <xf numFmtId="0" fontId="10" fillId="8" borderId="10" xfId="6" applyAlignment="1">
      <alignment horizontal="left" vertical="center"/>
    </xf>
    <xf numFmtId="0" fontId="2" fillId="3" borderId="2" xfId="2" applyBorder="1" applyAlignment="1">
      <alignment horizontal="center" vertical="center"/>
    </xf>
    <xf numFmtId="0" fontId="1" fillId="2" borderId="1" xfId="1" applyBorder="1" applyAlignment="1">
      <alignment horizontal="center" vertical="center" wrapText="1"/>
    </xf>
    <xf numFmtId="0" fontId="0" fillId="5" borderId="3" xfId="0" applyFill="1" applyBorder="1" applyAlignment="1">
      <alignment horizontal="left" vertical="center" wrapText="1"/>
    </xf>
    <xf numFmtId="0" fontId="0" fillId="5" borderId="4" xfId="0" applyFill="1" applyBorder="1" applyAlignment="1">
      <alignment horizontal="left" vertical="center" wrapText="1"/>
    </xf>
    <xf numFmtId="0" fontId="0" fillId="5" borderId="5" xfId="0" applyFill="1" applyBorder="1" applyAlignment="1">
      <alignment horizontal="left" vertical="center" wrapText="1"/>
    </xf>
    <xf numFmtId="0" fontId="0" fillId="5" borderId="1" xfId="0" applyFill="1" applyBorder="1" applyAlignment="1">
      <alignment horizontal="left" vertical="center" wrapText="1"/>
    </xf>
    <xf numFmtId="0" fontId="8" fillId="7" borderId="1" xfId="5" applyFont="1" applyBorder="1" applyAlignment="1">
      <alignment horizontal="center" vertical="center"/>
    </xf>
    <xf numFmtId="0" fontId="9" fillId="7" borderId="1" xfId="5" applyFont="1" applyBorder="1" applyAlignment="1">
      <alignment horizontal="center" vertical="center"/>
    </xf>
    <xf numFmtId="0" fontId="7" fillId="7" borderId="1" xfId="5" applyFont="1" applyBorder="1" applyAlignment="1">
      <alignment horizontal="center" vertical="center"/>
    </xf>
    <xf numFmtId="0" fontId="1" fillId="2" borderId="1" xfId="1" applyBorder="1" applyAlignment="1">
      <alignment horizontal="center" vertical="center" wrapText="1"/>
    </xf>
    <xf numFmtId="0" fontId="1" fillId="2" borderId="3" xfId="1" applyBorder="1" applyAlignment="1">
      <alignment horizontal="center" vertical="center"/>
    </xf>
    <xf numFmtId="0" fontId="1" fillId="2" borderId="4" xfId="1" applyBorder="1" applyAlignment="1">
      <alignment horizontal="center" vertical="center"/>
    </xf>
    <xf numFmtId="0" fontId="1" fillId="2" borderId="5" xfId="1" applyBorder="1" applyAlignment="1">
      <alignment horizontal="center" vertical="center"/>
    </xf>
    <xf numFmtId="0" fontId="1" fillId="2" borderId="1" xfId="1" applyBorder="1" applyAlignment="1">
      <alignment horizontal="center" vertical="center"/>
    </xf>
  </cellXfs>
  <cellStyles count="8">
    <cellStyle name="계산" xfId="7" builtinId="22"/>
    <cellStyle name="나쁨" xfId="2" builtinId="27"/>
    <cellStyle name="메모" xfId="5" builtinId="10"/>
    <cellStyle name="백분율" xfId="4" builtinId="5"/>
    <cellStyle name="보통" xfId="3" builtinId="28"/>
    <cellStyle name="셀 확인" xfId="6" builtinId="23"/>
    <cellStyle name="좋음" xfId="1" builtinId="26"/>
    <cellStyle name="표준"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4</xdr:col>
      <xdr:colOff>357188</xdr:colOff>
      <xdr:row>2</xdr:row>
      <xdr:rowOff>216011</xdr:rowOff>
    </xdr:from>
    <xdr:to>
      <xdr:col>12</xdr:col>
      <xdr:colOff>299203</xdr:colOff>
      <xdr:row>6</xdr:row>
      <xdr:rowOff>1102178</xdr:rowOff>
    </xdr:to>
    <xdr:pic>
      <xdr:nvPicPr>
        <xdr:cNvPr id="4" name="그림 3">
          <a:extLst>
            <a:ext uri="{FF2B5EF4-FFF2-40B4-BE49-F238E27FC236}">
              <a16:creationId xmlns:a16="http://schemas.microsoft.com/office/drawing/2014/main" id="{CC6A0D7A-AC6D-41BE-9F0E-4ADD401BE076}"/>
            </a:ext>
          </a:extLst>
        </xdr:cNvPr>
        <xdr:cNvPicPr>
          <a:picLocks noChangeAspect="1"/>
        </xdr:cNvPicPr>
      </xdr:nvPicPr>
      <xdr:blipFill>
        <a:blip xmlns:r="http://schemas.openxmlformats.org/officeDocument/2006/relationships" r:embed="rId1"/>
        <a:stretch>
          <a:fillRect/>
        </a:stretch>
      </xdr:blipFill>
      <xdr:spPr>
        <a:xfrm>
          <a:off x="11569474" y="875958"/>
          <a:ext cx="5167158" cy="3104131"/>
        </a:xfrm>
        <a:prstGeom prst="rect">
          <a:avLst/>
        </a:prstGeom>
      </xdr:spPr>
    </xdr:pic>
    <xdr:clientData/>
  </xdr:twoCellAnchor>
  <xdr:twoCellAnchor editAs="oneCell">
    <xdr:from>
      <xdr:col>4</xdr:col>
      <xdr:colOff>469448</xdr:colOff>
      <xdr:row>21</xdr:row>
      <xdr:rowOff>6803</xdr:rowOff>
    </xdr:from>
    <xdr:to>
      <xdr:col>8</xdr:col>
      <xdr:colOff>529228</xdr:colOff>
      <xdr:row>31</xdr:row>
      <xdr:rowOff>24566</xdr:rowOff>
    </xdr:to>
    <xdr:pic>
      <xdr:nvPicPr>
        <xdr:cNvPr id="5" name="그림 4">
          <a:extLst>
            <a:ext uri="{FF2B5EF4-FFF2-40B4-BE49-F238E27FC236}">
              <a16:creationId xmlns:a16="http://schemas.microsoft.com/office/drawing/2014/main" id="{CC187056-5CA2-48D7-970D-7A6FECD5A9F0}"/>
            </a:ext>
          </a:extLst>
        </xdr:cNvPr>
        <xdr:cNvPicPr>
          <a:picLocks noChangeAspect="1"/>
        </xdr:cNvPicPr>
      </xdr:nvPicPr>
      <xdr:blipFill>
        <a:blip xmlns:r="http://schemas.openxmlformats.org/officeDocument/2006/relationships" r:embed="rId2"/>
        <a:stretch>
          <a:fillRect/>
        </a:stretch>
      </xdr:blipFill>
      <xdr:spPr>
        <a:xfrm>
          <a:off x="11681734" y="12797517"/>
          <a:ext cx="2672351" cy="26167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560296</xdr:colOff>
      <xdr:row>22</xdr:row>
      <xdr:rowOff>134471</xdr:rowOff>
    </xdr:from>
    <xdr:to>
      <xdr:col>16</xdr:col>
      <xdr:colOff>403413</xdr:colOff>
      <xdr:row>27</xdr:row>
      <xdr:rowOff>126208</xdr:rowOff>
    </xdr:to>
    <xdr:pic>
      <xdr:nvPicPr>
        <xdr:cNvPr id="2" name="그림 1">
          <a:extLst>
            <a:ext uri="{FF2B5EF4-FFF2-40B4-BE49-F238E27FC236}">
              <a16:creationId xmlns:a16="http://schemas.microsoft.com/office/drawing/2014/main" id="{6C82049F-E560-4BEB-91A0-DBC5A99243ED}"/>
            </a:ext>
          </a:extLst>
        </xdr:cNvPr>
        <xdr:cNvPicPr>
          <a:picLocks noChangeAspect="1"/>
        </xdr:cNvPicPr>
      </xdr:nvPicPr>
      <xdr:blipFill>
        <a:blip xmlns:r="http://schemas.openxmlformats.org/officeDocument/2006/relationships" r:embed="rId1"/>
        <a:stretch>
          <a:fillRect/>
        </a:stretch>
      </xdr:blipFill>
      <xdr:spPr>
        <a:xfrm>
          <a:off x="11982825" y="16285883"/>
          <a:ext cx="4594411" cy="2203030"/>
        </a:xfrm>
        <a:prstGeom prst="rect">
          <a:avLst/>
        </a:prstGeom>
      </xdr:spPr>
    </xdr:pic>
    <xdr:clientData/>
  </xdr:twoCellAnchor>
  <xdr:twoCellAnchor editAs="oneCell">
    <xdr:from>
      <xdr:col>13</xdr:col>
      <xdr:colOff>537883</xdr:colOff>
      <xdr:row>27</xdr:row>
      <xdr:rowOff>179292</xdr:rowOff>
    </xdr:from>
    <xdr:to>
      <xdr:col>17</xdr:col>
      <xdr:colOff>390677</xdr:colOff>
      <xdr:row>37</xdr:row>
      <xdr:rowOff>194234</xdr:rowOff>
    </xdr:to>
    <xdr:pic>
      <xdr:nvPicPr>
        <xdr:cNvPr id="3" name="그림 2">
          <a:extLst>
            <a:ext uri="{FF2B5EF4-FFF2-40B4-BE49-F238E27FC236}">
              <a16:creationId xmlns:a16="http://schemas.microsoft.com/office/drawing/2014/main" id="{B04838BA-80A7-44B3-A016-A5B444378044}"/>
            </a:ext>
          </a:extLst>
        </xdr:cNvPr>
        <xdr:cNvPicPr>
          <a:picLocks noChangeAspect="1"/>
        </xdr:cNvPicPr>
      </xdr:nvPicPr>
      <xdr:blipFill>
        <a:blip xmlns:r="http://schemas.openxmlformats.org/officeDocument/2006/relationships" r:embed="rId2"/>
        <a:stretch>
          <a:fillRect/>
        </a:stretch>
      </xdr:blipFill>
      <xdr:spPr>
        <a:xfrm>
          <a:off x="11960412" y="18541998"/>
          <a:ext cx="4604088" cy="2181413"/>
        </a:xfrm>
        <a:prstGeom prst="rect">
          <a:avLst/>
        </a:prstGeom>
      </xdr:spPr>
    </xdr:pic>
    <xdr:clientData/>
  </xdr:twoCellAnchor>
  <xdr:twoCellAnchor editAs="oneCell">
    <xdr:from>
      <xdr:col>13</xdr:col>
      <xdr:colOff>620058</xdr:colOff>
      <xdr:row>38</xdr:row>
      <xdr:rowOff>81020</xdr:rowOff>
    </xdr:from>
    <xdr:to>
      <xdr:col>17</xdr:col>
      <xdr:colOff>418353</xdr:colOff>
      <xdr:row>48</xdr:row>
      <xdr:rowOff>110904</xdr:rowOff>
    </xdr:to>
    <xdr:pic>
      <xdr:nvPicPr>
        <xdr:cNvPr id="4" name="그림 3">
          <a:extLst>
            <a:ext uri="{FF2B5EF4-FFF2-40B4-BE49-F238E27FC236}">
              <a16:creationId xmlns:a16="http://schemas.microsoft.com/office/drawing/2014/main" id="{D4908280-5DEF-466D-AC57-02F7957D2579}"/>
            </a:ext>
          </a:extLst>
        </xdr:cNvPr>
        <xdr:cNvPicPr>
          <a:picLocks noChangeAspect="1"/>
        </xdr:cNvPicPr>
      </xdr:nvPicPr>
      <xdr:blipFill>
        <a:blip xmlns:r="http://schemas.openxmlformats.org/officeDocument/2006/relationships" r:embed="rId3"/>
        <a:stretch>
          <a:fillRect/>
        </a:stretch>
      </xdr:blipFill>
      <xdr:spPr>
        <a:xfrm>
          <a:off x="12042587" y="20826844"/>
          <a:ext cx="4549589" cy="2196353"/>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D2113-028D-4F5A-981F-5AF98CC66DCF}">
  <dimension ref="A2:F25"/>
  <sheetViews>
    <sheetView tabSelected="1" zoomScaleNormal="100" workbookViewId="0"/>
  </sheetViews>
  <sheetFormatPr defaultColWidth="8.5625" defaultRowHeight="16.899999999999999" x14ac:dyDescent="0.6"/>
  <cols>
    <col min="1" max="1" width="5.5625" style="1" customWidth="1"/>
    <col min="2" max="2" width="12.0625" style="1" customWidth="1"/>
    <col min="3" max="3" width="12.5" style="1" bestFit="1" customWidth="1"/>
    <col min="4" max="4" width="11.3125" style="1" bestFit="1" customWidth="1"/>
    <col min="5" max="5" width="40.8125" style="1" customWidth="1"/>
    <col min="6" max="6" width="12.5" style="1" bestFit="1" customWidth="1"/>
    <col min="7" max="16384" width="8.5625" style="1"/>
  </cols>
  <sheetData>
    <row r="2" spans="1:6" ht="34.9" x14ac:dyDescent="0.6">
      <c r="A2" s="14" t="s">
        <v>558</v>
      </c>
      <c r="B2" s="14"/>
    </row>
    <row r="4" spans="1:6" x14ac:dyDescent="0.6">
      <c r="B4" s="12" t="s">
        <v>89</v>
      </c>
      <c r="C4" s="12" t="s">
        <v>90</v>
      </c>
      <c r="D4" s="5" t="s">
        <v>94</v>
      </c>
      <c r="E4" s="5" t="s">
        <v>95</v>
      </c>
      <c r="F4" s="12" t="s">
        <v>96</v>
      </c>
    </row>
    <row r="5" spans="1:6" ht="33.75" x14ac:dyDescent="0.6">
      <c r="B5" s="13">
        <v>46108</v>
      </c>
      <c r="C5" s="13" t="s">
        <v>92</v>
      </c>
      <c r="D5" s="8" t="s">
        <v>91</v>
      </c>
      <c r="E5" s="15" t="s">
        <v>98</v>
      </c>
      <c r="F5" s="13"/>
    </row>
    <row r="6" spans="1:6" x14ac:dyDescent="0.6">
      <c r="B6" s="13">
        <v>46114</v>
      </c>
      <c r="C6" s="13" t="s">
        <v>93</v>
      </c>
      <c r="D6" s="8" t="s">
        <v>91</v>
      </c>
      <c r="E6" s="2" t="s">
        <v>293</v>
      </c>
      <c r="F6" s="13"/>
    </row>
    <row r="7" spans="1:6" x14ac:dyDescent="0.6">
      <c r="B7" s="13">
        <v>46115</v>
      </c>
      <c r="C7" s="13" t="s">
        <v>294</v>
      </c>
      <c r="D7" s="8" t="s">
        <v>91</v>
      </c>
      <c r="E7" s="2" t="s">
        <v>355</v>
      </c>
      <c r="F7" s="13"/>
    </row>
    <row r="8" spans="1:6" ht="67.5" x14ac:dyDescent="0.6">
      <c r="B8" s="13">
        <v>46119</v>
      </c>
      <c r="C8" s="13" t="s">
        <v>356</v>
      </c>
      <c r="D8" s="8" t="s">
        <v>91</v>
      </c>
      <c r="E8" s="15" t="s">
        <v>384</v>
      </c>
      <c r="F8" s="13"/>
    </row>
    <row r="9" spans="1:6" ht="33.75" x14ac:dyDescent="0.6">
      <c r="B9" s="13">
        <v>46120</v>
      </c>
      <c r="C9" s="13" t="s">
        <v>422</v>
      </c>
      <c r="D9" s="8" t="s">
        <v>91</v>
      </c>
      <c r="E9" s="15" t="s">
        <v>437</v>
      </c>
      <c r="F9" s="13"/>
    </row>
    <row r="10" spans="1:6" ht="50.65" x14ac:dyDescent="0.6">
      <c r="B10" s="13">
        <v>46121</v>
      </c>
      <c r="C10" s="13" t="s">
        <v>438</v>
      </c>
      <c r="D10" s="8" t="s">
        <v>91</v>
      </c>
      <c r="E10" s="15" t="s">
        <v>439</v>
      </c>
      <c r="F10" s="13"/>
    </row>
    <row r="11" spans="1:6" x14ac:dyDescent="0.6">
      <c r="B11" s="13">
        <v>46125</v>
      </c>
      <c r="C11" s="13" t="s">
        <v>513</v>
      </c>
      <c r="D11" s="8" t="s">
        <v>91</v>
      </c>
      <c r="E11" s="15" t="s">
        <v>514</v>
      </c>
      <c r="F11" s="13"/>
    </row>
    <row r="12" spans="1:6" ht="118.15" x14ac:dyDescent="0.6">
      <c r="B12" s="13">
        <v>46132</v>
      </c>
      <c r="C12" s="13" t="s">
        <v>542</v>
      </c>
      <c r="D12" s="8" t="s">
        <v>91</v>
      </c>
      <c r="E12" s="15" t="s">
        <v>660</v>
      </c>
      <c r="F12" s="13"/>
    </row>
    <row r="13" spans="1:6" x14ac:dyDescent="0.6">
      <c r="B13" s="13">
        <v>46133</v>
      </c>
      <c r="C13" s="13" t="s">
        <v>684</v>
      </c>
      <c r="D13" s="8" t="s">
        <v>91</v>
      </c>
      <c r="E13" s="15" t="s">
        <v>685</v>
      </c>
      <c r="F13" s="13"/>
    </row>
    <row r="15" spans="1:6" ht="34.9" x14ac:dyDescent="0.6">
      <c r="A15" s="14" t="s">
        <v>97</v>
      </c>
      <c r="B15" s="14"/>
    </row>
    <row r="16" spans="1:6" ht="60" customHeight="1" x14ac:dyDescent="0.6">
      <c r="B16" s="118" t="s">
        <v>577</v>
      </c>
      <c r="C16" s="118"/>
      <c r="D16" s="118"/>
      <c r="E16" s="118"/>
      <c r="F16" s="118"/>
    </row>
    <row r="18" spans="1:6" ht="34.9" x14ac:dyDescent="0.6">
      <c r="A18" s="14" t="s">
        <v>574</v>
      </c>
      <c r="B18" s="14"/>
    </row>
    <row r="19" spans="1:6" ht="180" customHeight="1" x14ac:dyDescent="0.6">
      <c r="A19" s="14"/>
      <c r="B19" s="118" t="s">
        <v>579</v>
      </c>
      <c r="C19" s="118"/>
      <c r="D19" s="118"/>
      <c r="E19" s="118"/>
      <c r="F19" s="118"/>
    </row>
    <row r="20" spans="1:6" x14ac:dyDescent="0.6">
      <c r="C20" s="100"/>
      <c r="D20" s="100"/>
      <c r="E20" s="100"/>
      <c r="F20" s="100"/>
    </row>
    <row r="21" spans="1:6" ht="34.9" x14ac:dyDescent="0.6">
      <c r="A21" s="14" t="s">
        <v>575</v>
      </c>
      <c r="B21" s="14"/>
    </row>
    <row r="22" spans="1:6" ht="210" customHeight="1" x14ac:dyDescent="0.6">
      <c r="A22" s="14"/>
      <c r="B22" s="118" t="s">
        <v>580</v>
      </c>
      <c r="C22" s="118"/>
      <c r="D22" s="118"/>
      <c r="E22" s="118"/>
      <c r="F22" s="118"/>
    </row>
    <row r="24" spans="1:6" ht="34.9" x14ac:dyDescent="0.6">
      <c r="A24" s="14" t="s">
        <v>576</v>
      </c>
      <c r="B24" s="14"/>
    </row>
    <row r="25" spans="1:6" ht="80" customHeight="1" x14ac:dyDescent="0.6">
      <c r="B25" s="115" t="s">
        <v>578</v>
      </c>
      <c r="C25" s="116"/>
      <c r="D25" s="116"/>
      <c r="E25" s="116"/>
      <c r="F25" s="117"/>
    </row>
  </sheetData>
  <mergeCells count="4">
    <mergeCell ref="B25:F25"/>
    <mergeCell ref="B16:F16"/>
    <mergeCell ref="B22:F22"/>
    <mergeCell ref="B19:F19"/>
  </mergeCells>
  <phoneticPr fontId="4"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93B69-42FB-418E-A7B0-B7F239AB871C}">
  <dimension ref="A2:K27"/>
  <sheetViews>
    <sheetView zoomScale="70" zoomScaleNormal="70" workbookViewId="0"/>
  </sheetViews>
  <sheetFormatPr defaultColWidth="8.5625" defaultRowHeight="16.899999999999999" x14ac:dyDescent="0.6"/>
  <cols>
    <col min="1" max="1" width="8.5625" style="1"/>
    <col min="2" max="2" width="18.25" style="1" customWidth="1"/>
    <col min="3" max="3" width="58.75" style="1" customWidth="1"/>
    <col min="4" max="4" width="61.5625" style="1" customWidth="1"/>
    <col min="5" max="16384" width="8.5625" style="1"/>
  </cols>
  <sheetData>
    <row r="2" spans="1:11" ht="34.9" x14ac:dyDescent="0.6">
      <c r="A2" s="14" t="s">
        <v>423</v>
      </c>
    </row>
    <row r="3" spans="1:11" x14ac:dyDescent="0.6">
      <c r="B3" s="1" t="s">
        <v>424</v>
      </c>
    </row>
    <row r="4" spans="1:11" ht="123.4" customHeight="1" x14ac:dyDescent="0.6">
      <c r="B4" s="118" t="s">
        <v>571</v>
      </c>
      <c r="C4" s="118"/>
      <c r="D4" s="118"/>
    </row>
    <row r="6" spans="1:11" x14ac:dyDescent="0.6">
      <c r="B6" s="1" t="s">
        <v>543</v>
      </c>
    </row>
    <row r="7" spans="1:11" ht="121.15" customHeight="1" x14ac:dyDescent="0.6">
      <c r="B7" s="118" t="s">
        <v>573</v>
      </c>
      <c r="C7" s="118"/>
      <c r="D7" s="118"/>
    </row>
    <row r="9" spans="1:11" ht="34.9" x14ac:dyDescent="0.6">
      <c r="A9" s="14" t="s">
        <v>425</v>
      </c>
    </row>
    <row r="10" spans="1:11" x14ac:dyDescent="0.6">
      <c r="A10" s="17"/>
      <c r="B10" s="1" t="s">
        <v>102</v>
      </c>
    </row>
    <row r="11" spans="1:11" x14ac:dyDescent="0.6">
      <c r="B11" s="5" t="s">
        <v>99</v>
      </c>
      <c r="C11" s="5" t="s">
        <v>100</v>
      </c>
      <c r="D11" s="5" t="s">
        <v>101</v>
      </c>
    </row>
    <row r="12" spans="1:11" ht="270" x14ac:dyDescent="0.6">
      <c r="B12" s="8" t="s">
        <v>551</v>
      </c>
      <c r="C12" s="96" t="s">
        <v>582</v>
      </c>
      <c r="D12" s="96" t="s">
        <v>564</v>
      </c>
    </row>
    <row r="13" spans="1:11" ht="50.65" x14ac:dyDescent="0.6">
      <c r="B13" s="8" t="s">
        <v>544</v>
      </c>
      <c r="C13" s="9" t="s">
        <v>547</v>
      </c>
      <c r="D13" s="9" t="s">
        <v>552</v>
      </c>
    </row>
    <row r="14" spans="1:11" ht="33.75" x14ac:dyDescent="0.6">
      <c r="B14" s="8" t="s">
        <v>545</v>
      </c>
      <c r="C14" s="21" t="s">
        <v>548</v>
      </c>
      <c r="D14" s="9" t="s">
        <v>560</v>
      </c>
    </row>
    <row r="15" spans="1:11" x14ac:dyDescent="0.6">
      <c r="B15" s="8" t="s">
        <v>546</v>
      </c>
      <c r="C15" s="21" t="s">
        <v>549</v>
      </c>
      <c r="D15" s="9"/>
    </row>
    <row r="16" spans="1:11" ht="101.25" x14ac:dyDescent="0.6">
      <c r="B16" s="18" t="s">
        <v>550</v>
      </c>
      <c r="C16" s="9" t="s">
        <v>553</v>
      </c>
      <c r="D16" s="9" t="s">
        <v>572</v>
      </c>
      <c r="K16" s="61"/>
    </row>
    <row r="17" spans="2:4" ht="33.75" x14ac:dyDescent="0.6">
      <c r="B17" s="8" t="s">
        <v>9</v>
      </c>
      <c r="C17" s="21" t="s">
        <v>561</v>
      </c>
      <c r="D17" s="9" t="s">
        <v>107</v>
      </c>
    </row>
    <row r="18" spans="2:4" ht="33.75" x14ac:dyDescent="0.6">
      <c r="B18" s="18" t="s">
        <v>8</v>
      </c>
      <c r="C18" s="21" t="s">
        <v>562</v>
      </c>
      <c r="D18" s="9" t="s">
        <v>106</v>
      </c>
    </row>
    <row r="19" spans="2:4" ht="33.75" x14ac:dyDescent="0.6">
      <c r="B19" s="8" t="s">
        <v>104</v>
      </c>
      <c r="C19" s="21" t="s">
        <v>563</v>
      </c>
      <c r="D19" s="9" t="s">
        <v>108</v>
      </c>
    </row>
    <row r="20" spans="2:4" x14ac:dyDescent="0.6">
      <c r="B20" s="8" t="s">
        <v>5</v>
      </c>
      <c r="C20" s="21" t="s">
        <v>565</v>
      </c>
      <c r="D20" s="21" t="s">
        <v>105</v>
      </c>
    </row>
    <row r="21" spans="2:4" x14ac:dyDescent="0.6">
      <c r="B21" s="20"/>
      <c r="C21" s="20"/>
      <c r="D21" s="20"/>
    </row>
    <row r="22" spans="2:4" x14ac:dyDescent="0.6">
      <c r="B22" s="50" t="s">
        <v>559</v>
      </c>
      <c r="C22" s="20"/>
      <c r="D22" s="20"/>
    </row>
    <row r="23" spans="2:4" x14ac:dyDescent="0.6">
      <c r="B23" s="5" t="s">
        <v>99</v>
      </c>
      <c r="C23" s="5" t="s">
        <v>100</v>
      </c>
      <c r="D23" s="5" t="s">
        <v>101</v>
      </c>
    </row>
    <row r="24" spans="2:4" x14ac:dyDescent="0.6">
      <c r="B24" s="8" t="s">
        <v>426</v>
      </c>
      <c r="C24" s="21" t="s">
        <v>568</v>
      </c>
      <c r="D24" s="9" t="s">
        <v>570</v>
      </c>
    </row>
    <row r="25" spans="2:4" ht="33.75" x14ac:dyDescent="0.6">
      <c r="B25" s="8" t="s">
        <v>427</v>
      </c>
      <c r="C25" s="9" t="s">
        <v>567</v>
      </c>
      <c r="D25" s="9" t="s">
        <v>554</v>
      </c>
    </row>
    <row r="26" spans="2:4" x14ac:dyDescent="0.6">
      <c r="B26" s="8" t="s">
        <v>428</v>
      </c>
      <c r="C26" s="21" t="s">
        <v>566</v>
      </c>
      <c r="D26" s="9" t="s">
        <v>555</v>
      </c>
    </row>
    <row r="27" spans="2:4" ht="33.75" x14ac:dyDescent="0.6">
      <c r="B27" s="8" t="s">
        <v>556</v>
      </c>
      <c r="C27" s="96" t="s">
        <v>557</v>
      </c>
      <c r="D27" s="96" t="s">
        <v>569</v>
      </c>
    </row>
  </sheetData>
  <mergeCells count="2">
    <mergeCell ref="B4:D4"/>
    <mergeCell ref="B7:D7"/>
  </mergeCells>
  <phoneticPr fontId="4" type="noConversion"/>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1E2BE-4112-4ED2-963F-F03823D626A5}">
  <dimension ref="A2:S48"/>
  <sheetViews>
    <sheetView zoomScale="85" zoomScaleNormal="85" workbookViewId="0">
      <selection activeCell="C41" sqref="C41"/>
    </sheetView>
  </sheetViews>
  <sheetFormatPr defaultColWidth="8.5625" defaultRowHeight="16.899999999999999" x14ac:dyDescent="0.6"/>
  <cols>
    <col min="1" max="1" width="8.5625" style="1"/>
    <col min="2" max="7" width="15.5625" style="1" customWidth="1"/>
    <col min="8" max="9" width="16.3125" style="1" bestFit="1" customWidth="1"/>
    <col min="10" max="10" width="18.75" style="1" customWidth="1"/>
    <col min="11" max="11" width="20.3125" style="1" bestFit="1" customWidth="1"/>
    <col min="12" max="21" width="15.5625" style="1" customWidth="1"/>
    <col min="22" max="16384" width="8.5625" style="1"/>
  </cols>
  <sheetData>
    <row r="2" spans="1:9" ht="34.9" x14ac:dyDescent="0.6">
      <c r="A2" s="14" t="s">
        <v>109</v>
      </c>
    </row>
    <row r="3" spans="1:9" ht="198" customHeight="1" x14ac:dyDescent="0.6">
      <c r="B3" s="118" t="s">
        <v>611</v>
      </c>
      <c r="C3" s="118"/>
      <c r="D3" s="118"/>
      <c r="E3" s="118"/>
      <c r="F3" s="118"/>
      <c r="G3" s="118"/>
      <c r="H3" s="118"/>
      <c r="I3" s="20"/>
    </row>
    <row r="5" spans="1:9" ht="34.9" x14ac:dyDescent="0.6">
      <c r="A5" s="14" t="s">
        <v>604</v>
      </c>
    </row>
    <row r="6" spans="1:9" ht="260" customHeight="1" x14ac:dyDescent="0.6">
      <c r="B6" s="118" t="s">
        <v>612</v>
      </c>
      <c r="C6" s="118"/>
      <c r="D6" s="118"/>
      <c r="E6" s="118"/>
      <c r="F6" s="118"/>
      <c r="G6" s="118"/>
      <c r="H6" s="118"/>
      <c r="I6" s="20"/>
    </row>
    <row r="8" spans="1:9" ht="34.9" x14ac:dyDescent="0.6">
      <c r="A8" s="14" t="s">
        <v>581</v>
      </c>
    </row>
    <row r="9" spans="1:9" ht="145.15" customHeight="1" x14ac:dyDescent="0.6">
      <c r="A9" s="14"/>
      <c r="B9" s="118" t="s">
        <v>605</v>
      </c>
      <c r="C9" s="118"/>
      <c r="D9" s="118"/>
      <c r="E9" s="118"/>
      <c r="F9" s="118"/>
      <c r="G9" s="118"/>
      <c r="H9" s="118"/>
    </row>
    <row r="11" spans="1:9" x14ac:dyDescent="0.6">
      <c r="B11" s="97" t="s">
        <v>640</v>
      </c>
      <c r="C11" s="97" t="s">
        <v>622</v>
      </c>
      <c r="D11" s="97" t="s">
        <v>545</v>
      </c>
      <c r="E11" s="97" t="s">
        <v>546</v>
      </c>
    </row>
    <row r="12" spans="1:9" x14ac:dyDescent="0.6">
      <c r="B12" s="97"/>
      <c r="C12" s="48">
        <v>1</v>
      </c>
      <c r="D12" s="48">
        <v>1</v>
      </c>
      <c r="E12" s="48">
        <v>1</v>
      </c>
    </row>
    <row r="14" spans="1:9" ht="33.75" x14ac:dyDescent="0.6">
      <c r="B14" s="99" t="s">
        <v>644</v>
      </c>
      <c r="C14" s="97" t="s">
        <v>622</v>
      </c>
      <c r="D14" s="97" t="s">
        <v>545</v>
      </c>
      <c r="E14" s="97" t="s">
        <v>546</v>
      </c>
    </row>
    <row r="15" spans="1:9" x14ac:dyDescent="0.6">
      <c r="B15" s="97" t="s">
        <v>455</v>
      </c>
      <c r="C15" s="98">
        <v>2</v>
      </c>
      <c r="D15" s="98">
        <v>1</v>
      </c>
      <c r="E15" s="98">
        <v>0</v>
      </c>
    </row>
    <row r="16" spans="1:9" x14ac:dyDescent="0.6">
      <c r="B16" s="97" t="s">
        <v>641</v>
      </c>
      <c r="C16" s="98">
        <v>0</v>
      </c>
      <c r="D16" s="98">
        <v>2</v>
      </c>
      <c r="E16" s="98">
        <v>0</v>
      </c>
    </row>
    <row r="17" spans="1:19" x14ac:dyDescent="0.6">
      <c r="B17" s="97" t="s">
        <v>642</v>
      </c>
      <c r="C17" s="98">
        <v>1</v>
      </c>
      <c r="D17" s="98">
        <v>1</v>
      </c>
      <c r="E17" s="98">
        <v>0</v>
      </c>
    </row>
    <row r="18" spans="1:19" x14ac:dyDescent="0.6">
      <c r="B18" s="97" t="s">
        <v>643</v>
      </c>
      <c r="C18" s="98">
        <v>1</v>
      </c>
      <c r="D18" s="98">
        <v>0</v>
      </c>
      <c r="E18" s="98">
        <v>1</v>
      </c>
    </row>
    <row r="19" spans="1:19" x14ac:dyDescent="0.6">
      <c r="B19" s="97" t="s">
        <v>632</v>
      </c>
      <c r="C19" s="98">
        <v>0</v>
      </c>
      <c r="D19" s="98">
        <v>1</v>
      </c>
      <c r="E19" s="98">
        <v>1</v>
      </c>
    </row>
    <row r="21" spans="1:19" ht="34.9" x14ac:dyDescent="0.6">
      <c r="A21" s="14" t="s">
        <v>111</v>
      </c>
    </row>
    <row r="22" spans="1:19" ht="305.2" customHeight="1" x14ac:dyDescent="0.6">
      <c r="B22" s="118" t="s">
        <v>583</v>
      </c>
      <c r="C22" s="118"/>
      <c r="D22" s="118"/>
      <c r="E22" s="118"/>
      <c r="F22" s="118"/>
      <c r="G22" s="118"/>
      <c r="H22" s="118"/>
      <c r="I22" s="20"/>
    </row>
    <row r="24" spans="1:19" ht="34.9" x14ac:dyDescent="0.6">
      <c r="A24" s="14" t="s">
        <v>112</v>
      </c>
    </row>
    <row r="25" spans="1:19" ht="34.9" x14ac:dyDescent="0.6">
      <c r="A25" s="14"/>
      <c r="F25" s="4">
        <v>4</v>
      </c>
      <c r="I25" s="99" t="s">
        <v>600</v>
      </c>
      <c r="J25" s="62">
        <v>100</v>
      </c>
    </row>
    <row r="26" spans="1:19" ht="50.65" x14ac:dyDescent="0.6">
      <c r="B26" s="5" t="s">
        <v>631</v>
      </c>
      <c r="C26" s="97" t="s">
        <v>630</v>
      </c>
      <c r="D26" s="4" t="s">
        <v>584</v>
      </c>
      <c r="E26" s="4" t="s">
        <v>609</v>
      </c>
      <c r="F26" s="4" t="s">
        <v>610</v>
      </c>
      <c r="G26" s="4" t="s">
        <v>603</v>
      </c>
      <c r="H26" s="4" t="s">
        <v>602</v>
      </c>
      <c r="I26" s="5" t="s">
        <v>28</v>
      </c>
      <c r="J26" s="75" t="s">
        <v>601</v>
      </c>
      <c r="K26" s="4" t="s">
        <v>31</v>
      </c>
      <c r="L26" s="4" t="s">
        <v>32</v>
      </c>
    </row>
    <row r="27" spans="1:19" x14ac:dyDescent="0.6">
      <c r="B27" s="8">
        <v>1</v>
      </c>
      <c r="C27" s="8" t="s">
        <v>599</v>
      </c>
      <c r="D27" s="2">
        <v>0</v>
      </c>
      <c r="E27" s="22">
        <v>10</v>
      </c>
      <c r="F27" s="22">
        <f>E27*$F$25</f>
        <v>40</v>
      </c>
      <c r="G27" s="22">
        <f>F27/4</f>
        <v>10</v>
      </c>
      <c r="H27" s="25">
        <v>0</v>
      </c>
      <c r="I27" s="2" t="s">
        <v>29</v>
      </c>
      <c r="J27" s="2"/>
      <c r="K27" s="2"/>
      <c r="L27" s="2" t="s">
        <v>33</v>
      </c>
      <c r="S27" s="1" t="s">
        <v>606</v>
      </c>
    </row>
    <row r="28" spans="1:19" x14ac:dyDescent="0.6">
      <c r="B28" s="8">
        <v>2</v>
      </c>
      <c r="C28" s="8" t="s">
        <v>598</v>
      </c>
      <c r="D28" s="2">
        <f>D27+$E$27</f>
        <v>10</v>
      </c>
      <c r="E28" s="23"/>
      <c r="F28" s="23"/>
      <c r="G28" s="23"/>
      <c r="H28" s="25">
        <f>(D28-D27)/$G$27</f>
        <v>1</v>
      </c>
      <c r="I28" s="2"/>
      <c r="J28" s="2">
        <v>10</v>
      </c>
      <c r="K28" s="2"/>
      <c r="L28" s="2"/>
    </row>
    <row r="29" spans="1:19" x14ac:dyDescent="0.6">
      <c r="B29" s="51">
        <v>3</v>
      </c>
      <c r="C29" s="51" t="s">
        <v>596</v>
      </c>
      <c r="D29" s="6">
        <f>D28+$E$27</f>
        <v>20</v>
      </c>
      <c r="E29" s="24"/>
      <c r="F29" s="24"/>
      <c r="G29" s="24"/>
      <c r="H29" s="26">
        <f>(D29-D28)/$G$27</f>
        <v>1</v>
      </c>
      <c r="I29" s="6" t="s">
        <v>30</v>
      </c>
      <c r="J29" s="6"/>
      <c r="K29" s="6">
        <v>2</v>
      </c>
      <c r="L29" s="6"/>
    </row>
    <row r="30" spans="1:19" x14ac:dyDescent="0.6">
      <c r="B30" s="8">
        <v>4</v>
      </c>
      <c r="C30" s="8" t="s">
        <v>597</v>
      </c>
      <c r="D30" s="2">
        <f>D29+$E$30</f>
        <v>40</v>
      </c>
      <c r="E30" s="22">
        <v>20</v>
      </c>
      <c r="F30" s="22">
        <f>E30*$F$25</f>
        <v>80</v>
      </c>
      <c r="G30" s="22">
        <f>F30/4</f>
        <v>20</v>
      </c>
      <c r="H30" s="25">
        <f>(D30-D29)/$G$30</f>
        <v>1</v>
      </c>
      <c r="I30" s="2"/>
      <c r="J30" s="2">
        <v>10</v>
      </c>
      <c r="K30" s="2"/>
      <c r="L30" s="2" t="s">
        <v>34</v>
      </c>
    </row>
    <row r="31" spans="1:19" x14ac:dyDescent="0.6">
      <c r="B31" s="51">
        <v>5</v>
      </c>
      <c r="C31" s="51" t="s">
        <v>595</v>
      </c>
      <c r="D31" s="6">
        <f>D30+$E$30</f>
        <v>60</v>
      </c>
      <c r="E31" s="23"/>
      <c r="F31" s="23"/>
      <c r="G31" s="23"/>
      <c r="H31" s="26">
        <f>(D31-D30)/$G$30</f>
        <v>1</v>
      </c>
      <c r="I31" s="6" t="s">
        <v>30</v>
      </c>
      <c r="J31" s="6"/>
      <c r="K31" s="6">
        <v>2</v>
      </c>
      <c r="L31" s="6"/>
    </row>
    <row r="32" spans="1:19" x14ac:dyDescent="0.6">
      <c r="B32" s="8">
        <v>6</v>
      </c>
      <c r="C32" s="8" t="s">
        <v>594</v>
      </c>
      <c r="D32" s="2">
        <f>D31+$E$30</f>
        <v>80</v>
      </c>
      <c r="E32" s="24"/>
      <c r="F32" s="24"/>
      <c r="G32" s="24"/>
      <c r="H32" s="25">
        <f>(D32-D31)/$G$30</f>
        <v>1</v>
      </c>
      <c r="I32" s="2"/>
      <c r="J32" s="2">
        <v>10</v>
      </c>
      <c r="K32" s="2"/>
      <c r="L32" s="2"/>
    </row>
    <row r="33" spans="2:19" x14ac:dyDescent="0.6">
      <c r="B33" s="51">
        <v>7</v>
      </c>
      <c r="C33" s="51" t="s">
        <v>593</v>
      </c>
      <c r="D33" s="6">
        <f>D32+$E$33</f>
        <v>110</v>
      </c>
      <c r="E33" s="22">
        <v>30</v>
      </c>
      <c r="F33" s="22">
        <f>E33*$F$25</f>
        <v>120</v>
      </c>
      <c r="G33" s="22">
        <f>F33/4</f>
        <v>30</v>
      </c>
      <c r="H33" s="26">
        <f>(D33-D32)/$G$33</f>
        <v>1</v>
      </c>
      <c r="I33" s="6" t="s">
        <v>30</v>
      </c>
      <c r="J33" s="6"/>
      <c r="K33" s="6">
        <v>2</v>
      </c>
      <c r="L33" s="6"/>
    </row>
    <row r="34" spans="2:19" x14ac:dyDescent="0.6">
      <c r="B34" s="8">
        <v>8</v>
      </c>
      <c r="C34" s="8" t="s">
        <v>592</v>
      </c>
      <c r="D34" s="2">
        <f>D33+$E$33</f>
        <v>140</v>
      </c>
      <c r="E34" s="23"/>
      <c r="F34" s="23"/>
      <c r="G34" s="23"/>
      <c r="H34" s="25">
        <f>(D34-D33)/$G$33</f>
        <v>1</v>
      </c>
      <c r="I34" s="2"/>
      <c r="J34" s="2">
        <v>10</v>
      </c>
      <c r="K34" s="2"/>
      <c r="L34" s="2" t="s">
        <v>34</v>
      </c>
    </row>
    <row r="35" spans="2:19" x14ac:dyDescent="0.6">
      <c r="B35" s="8">
        <v>9</v>
      </c>
      <c r="C35" s="8" t="s">
        <v>591</v>
      </c>
      <c r="D35" s="2">
        <f>D34+$E$33</f>
        <v>170</v>
      </c>
      <c r="E35" s="24"/>
      <c r="F35" s="24"/>
      <c r="G35" s="24"/>
      <c r="H35" s="25">
        <f>(D35-D34)/$G$33</f>
        <v>1</v>
      </c>
      <c r="I35" s="2"/>
      <c r="J35" s="2">
        <v>10</v>
      </c>
      <c r="K35" s="2"/>
      <c r="L35" s="2"/>
    </row>
    <row r="36" spans="2:19" x14ac:dyDescent="0.6">
      <c r="B36" s="51">
        <v>10</v>
      </c>
      <c r="C36" s="51" t="s">
        <v>590</v>
      </c>
      <c r="D36" s="6">
        <f>D35+$E$36*2</f>
        <v>250</v>
      </c>
      <c r="E36" s="22">
        <v>40</v>
      </c>
      <c r="F36" s="22">
        <f>E36*$F$25</f>
        <v>160</v>
      </c>
      <c r="G36" s="22">
        <f>F36/4</f>
        <v>40</v>
      </c>
      <c r="H36" s="26">
        <f>(D36-D35)/$G$36</f>
        <v>2</v>
      </c>
      <c r="I36" s="6" t="s">
        <v>30</v>
      </c>
      <c r="J36" s="6"/>
      <c r="K36" s="6">
        <v>3</v>
      </c>
      <c r="L36" s="6"/>
    </row>
    <row r="37" spans="2:19" x14ac:dyDescent="0.6">
      <c r="B37" s="8">
        <v>11</v>
      </c>
      <c r="C37" s="8" t="s">
        <v>589</v>
      </c>
      <c r="D37" s="2">
        <f>D36+$E$36*2</f>
        <v>330</v>
      </c>
      <c r="E37" s="23"/>
      <c r="F37" s="23"/>
      <c r="G37" s="23"/>
      <c r="H37" s="25">
        <f>(D37-D36)/$G$36</f>
        <v>2</v>
      </c>
      <c r="I37" s="2"/>
      <c r="J37" s="2">
        <v>10</v>
      </c>
      <c r="K37" s="2"/>
      <c r="L37" s="2" t="s">
        <v>34</v>
      </c>
    </row>
    <row r="38" spans="2:19" x14ac:dyDescent="0.6">
      <c r="B38" s="51">
        <v>12</v>
      </c>
      <c r="C38" s="51" t="s">
        <v>588</v>
      </c>
      <c r="D38" s="6">
        <f>D37+$E$36*2</f>
        <v>410</v>
      </c>
      <c r="E38" s="24"/>
      <c r="F38" s="24"/>
      <c r="G38" s="24"/>
      <c r="H38" s="26">
        <f>(D38-D37)/$G$36</f>
        <v>2</v>
      </c>
      <c r="I38" s="6" t="s">
        <v>30</v>
      </c>
      <c r="J38" s="6"/>
      <c r="K38" s="6">
        <v>2</v>
      </c>
      <c r="L38" s="6"/>
      <c r="S38" s="1" t="s">
        <v>607</v>
      </c>
    </row>
    <row r="39" spans="2:19" x14ac:dyDescent="0.6">
      <c r="B39" s="101">
        <v>13</v>
      </c>
      <c r="C39" s="101" t="s">
        <v>587</v>
      </c>
      <c r="D39" s="2">
        <f>D38+$E$39*3</f>
        <v>560</v>
      </c>
      <c r="E39" s="22">
        <v>50</v>
      </c>
      <c r="F39" s="22">
        <f>E39*$F$25</f>
        <v>200</v>
      </c>
      <c r="G39" s="22">
        <f>F39/4</f>
        <v>50</v>
      </c>
      <c r="H39" s="25">
        <f>(D39-D38)/$G$39</f>
        <v>3</v>
      </c>
      <c r="I39" s="7"/>
      <c r="J39" s="7">
        <v>20</v>
      </c>
      <c r="K39" s="7"/>
      <c r="L39" s="7"/>
    </row>
    <row r="40" spans="2:19" x14ac:dyDescent="0.6">
      <c r="B40" s="8">
        <v>14</v>
      </c>
      <c r="C40" s="8" t="s">
        <v>586</v>
      </c>
      <c r="D40" s="2">
        <f>D39+$E$39*3</f>
        <v>710</v>
      </c>
      <c r="E40" s="23"/>
      <c r="F40" s="23"/>
      <c r="G40" s="23"/>
      <c r="H40" s="25">
        <f>(D40-D39)/$G$39</f>
        <v>3</v>
      </c>
      <c r="I40" s="2"/>
      <c r="J40" s="2">
        <v>20</v>
      </c>
      <c r="K40" s="2"/>
      <c r="L40" s="2" t="s">
        <v>34</v>
      </c>
    </row>
    <row r="41" spans="2:19" x14ac:dyDescent="0.6">
      <c r="B41" s="51">
        <v>15</v>
      </c>
      <c r="C41" s="51" t="s">
        <v>585</v>
      </c>
      <c r="D41" s="6">
        <f>D40+$E$39*3</f>
        <v>860</v>
      </c>
      <c r="E41" s="24"/>
      <c r="F41" s="24"/>
      <c r="G41" s="24"/>
      <c r="H41" s="26">
        <f>(D41-D40)/$G$39</f>
        <v>3</v>
      </c>
      <c r="I41" s="6" t="s">
        <v>30</v>
      </c>
      <c r="J41" s="6"/>
      <c r="K41" s="6">
        <v>3</v>
      </c>
      <c r="L41" s="6"/>
    </row>
    <row r="42" spans="2:19" x14ac:dyDescent="0.6">
      <c r="B42" s="3" t="s">
        <v>27</v>
      </c>
      <c r="C42" s="3"/>
      <c r="D42" s="3"/>
      <c r="E42" s="3"/>
      <c r="F42" s="3"/>
      <c r="G42" s="3"/>
      <c r="H42" s="27">
        <f>SUM(H27:H41)</f>
        <v>23</v>
      </c>
      <c r="I42" s="3"/>
      <c r="J42" s="3">
        <f>SUM(J25:J41)</f>
        <v>200</v>
      </c>
      <c r="K42" s="3"/>
      <c r="L42" s="3"/>
    </row>
    <row r="48" spans="2:19" x14ac:dyDescent="0.6">
      <c r="R48" s="1" t="s">
        <v>608</v>
      </c>
    </row>
  </sheetData>
  <mergeCells count="4">
    <mergeCell ref="B3:H3"/>
    <mergeCell ref="B6:H6"/>
    <mergeCell ref="B22:H22"/>
    <mergeCell ref="B9:H9"/>
  </mergeCells>
  <phoneticPr fontId="4" type="noConversion"/>
  <dataValidations count="1">
    <dataValidation type="list" allowBlank="1" showInputMessage="1" showErrorMessage="1" sqref="F25" xr:uid="{26ED512A-80B4-415B-9993-DF28279469CD}">
      <formula1>"2,3,4,5"</formula1>
    </dataValidation>
  </dataValidation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D80AB-3F8B-4848-807B-3D7386D79971}">
  <dimension ref="A2:I98"/>
  <sheetViews>
    <sheetView topLeftCell="A28" zoomScaleNormal="100" workbookViewId="0">
      <selection activeCell="E40" sqref="E40"/>
    </sheetView>
  </sheetViews>
  <sheetFormatPr defaultColWidth="8.5625" defaultRowHeight="16.899999999999999" x14ac:dyDescent="0.6"/>
  <cols>
    <col min="1" max="1" width="8.5625" style="1"/>
    <col min="2" max="2" width="25" style="1" bestFit="1" customWidth="1"/>
    <col min="3" max="3" width="21.5" style="1" bestFit="1" customWidth="1"/>
    <col min="4" max="4" width="8.5625" style="1"/>
    <col min="5" max="5" width="120.8125" style="1" customWidth="1"/>
    <col min="6" max="6" width="8.5625" style="1"/>
    <col min="7" max="7" width="9.8125" style="1" bestFit="1" customWidth="1"/>
    <col min="8" max="8" width="13.5625" style="1" bestFit="1" customWidth="1"/>
    <col min="9" max="9" width="12.5625" style="1" bestFit="1" customWidth="1"/>
    <col min="10" max="10" width="13.3125" style="1" bestFit="1" customWidth="1"/>
    <col min="11" max="11" width="8.5" style="1" bestFit="1" customWidth="1"/>
    <col min="12" max="16384" width="8.5625" style="1"/>
  </cols>
  <sheetData>
    <row r="2" spans="1:5" ht="34.9" x14ac:dyDescent="0.6">
      <c r="A2" s="14" t="s">
        <v>135</v>
      </c>
    </row>
    <row r="3" spans="1:5" x14ac:dyDescent="0.6">
      <c r="B3" s="5" t="s">
        <v>120</v>
      </c>
      <c r="C3" s="5" t="s">
        <v>121</v>
      </c>
      <c r="D3" s="5" t="s">
        <v>122</v>
      </c>
      <c r="E3" s="5" t="s">
        <v>123</v>
      </c>
    </row>
    <row r="4" spans="1:5" x14ac:dyDescent="0.6">
      <c r="B4" s="28" t="s">
        <v>132</v>
      </c>
      <c r="C4" s="28" t="s">
        <v>150</v>
      </c>
      <c r="D4" s="28" t="s">
        <v>124</v>
      </c>
      <c r="E4" s="29" t="s">
        <v>131</v>
      </c>
    </row>
    <row r="5" spans="1:5" x14ac:dyDescent="0.6">
      <c r="B5" s="28" t="s">
        <v>136</v>
      </c>
      <c r="C5" s="28" t="s">
        <v>137</v>
      </c>
      <c r="D5" s="28" t="s">
        <v>124</v>
      </c>
      <c r="E5" s="29" t="s">
        <v>138</v>
      </c>
    </row>
    <row r="6" spans="1:5" x14ac:dyDescent="0.6">
      <c r="B6" s="28" t="s">
        <v>512</v>
      </c>
      <c r="C6" s="28" t="s">
        <v>515</v>
      </c>
      <c r="D6" s="28" t="s">
        <v>124</v>
      </c>
      <c r="E6" s="29" t="s">
        <v>516</v>
      </c>
    </row>
    <row r="7" spans="1:5" x14ac:dyDescent="0.6">
      <c r="B7" s="8" t="s">
        <v>52</v>
      </c>
      <c r="C7" s="8" t="s">
        <v>51</v>
      </c>
      <c r="D7" s="8" t="s">
        <v>124</v>
      </c>
      <c r="E7" s="2" t="s">
        <v>142</v>
      </c>
    </row>
    <row r="8" spans="1:5" x14ac:dyDescent="0.6">
      <c r="B8" s="8" t="s">
        <v>151</v>
      </c>
      <c r="C8" s="8" t="s">
        <v>152</v>
      </c>
      <c r="D8" s="8" t="s">
        <v>124</v>
      </c>
      <c r="E8" s="29" t="s">
        <v>153</v>
      </c>
    </row>
    <row r="9" spans="1:5" ht="33.75" x14ac:dyDescent="0.6">
      <c r="B9" s="8" t="s">
        <v>119</v>
      </c>
      <c r="C9" s="8" t="s">
        <v>139</v>
      </c>
      <c r="D9" s="8" t="s">
        <v>124</v>
      </c>
      <c r="E9" s="15" t="s">
        <v>141</v>
      </c>
    </row>
    <row r="10" spans="1:5" ht="33.75" x14ac:dyDescent="0.6">
      <c r="B10" s="8" t="s">
        <v>53</v>
      </c>
      <c r="C10" s="8" t="s">
        <v>54</v>
      </c>
      <c r="D10" s="8" t="s">
        <v>124</v>
      </c>
      <c r="E10" s="15" t="s">
        <v>140</v>
      </c>
    </row>
    <row r="12" spans="1:5" ht="34.9" x14ac:dyDescent="0.6">
      <c r="A12" s="14" t="s">
        <v>232</v>
      </c>
    </row>
    <row r="13" spans="1:5" ht="34.9" x14ac:dyDescent="0.6">
      <c r="A13" s="14"/>
      <c r="B13" s="5" t="s">
        <v>120</v>
      </c>
      <c r="C13" s="5" t="s">
        <v>121</v>
      </c>
      <c r="D13" s="5" t="s">
        <v>122</v>
      </c>
      <c r="E13" s="5" t="s">
        <v>123</v>
      </c>
    </row>
    <row r="14" spans="1:5" x14ac:dyDescent="0.6">
      <c r="B14" s="8" t="s">
        <v>622</v>
      </c>
      <c r="C14" s="8" t="s">
        <v>636</v>
      </c>
      <c r="D14" s="8" t="s">
        <v>124</v>
      </c>
      <c r="E14" s="2" t="s">
        <v>637</v>
      </c>
    </row>
    <row r="15" spans="1:5" x14ac:dyDescent="0.6">
      <c r="B15" s="8" t="s">
        <v>545</v>
      </c>
      <c r="C15" s="8" t="s">
        <v>635</v>
      </c>
      <c r="D15" s="8" t="s">
        <v>124</v>
      </c>
      <c r="E15" s="2" t="s">
        <v>638</v>
      </c>
    </row>
    <row r="16" spans="1:5" x14ac:dyDescent="0.6">
      <c r="B16" s="8" t="s">
        <v>546</v>
      </c>
      <c r="C16" s="8" t="s">
        <v>634</v>
      </c>
      <c r="D16" s="8" t="s">
        <v>124</v>
      </c>
      <c r="E16" s="2" t="s">
        <v>639</v>
      </c>
    </row>
    <row r="17" spans="1:9" x14ac:dyDescent="0.6">
      <c r="B17" s="8" t="s">
        <v>9</v>
      </c>
      <c r="C17" s="8" t="s">
        <v>2</v>
      </c>
      <c r="D17" s="8" t="s">
        <v>124</v>
      </c>
      <c r="E17" s="2" t="s">
        <v>366</v>
      </c>
    </row>
    <row r="18" spans="1:9" x14ac:dyDescent="0.6">
      <c r="B18" s="8" t="s">
        <v>8</v>
      </c>
      <c r="C18" s="8" t="s">
        <v>6</v>
      </c>
      <c r="D18" s="8" t="s">
        <v>124</v>
      </c>
      <c r="E18" s="2" t="s">
        <v>367</v>
      </c>
    </row>
    <row r="19" spans="1:9" x14ac:dyDescent="0.6">
      <c r="B19" s="8" t="s">
        <v>129</v>
      </c>
      <c r="C19" s="8" t="s">
        <v>188</v>
      </c>
      <c r="D19" s="8" t="s">
        <v>124</v>
      </c>
      <c r="E19" s="2" t="s">
        <v>368</v>
      </c>
    </row>
    <row r="20" spans="1:9" x14ac:dyDescent="0.6">
      <c r="B20" s="8" t="s">
        <v>5</v>
      </c>
      <c r="C20" s="8" t="s">
        <v>3</v>
      </c>
      <c r="D20" s="8" t="s">
        <v>124</v>
      </c>
      <c r="E20" s="2" t="s">
        <v>134</v>
      </c>
    </row>
    <row r="21" spans="1:9" x14ac:dyDescent="0.6">
      <c r="B21" s="16"/>
      <c r="C21" s="16"/>
      <c r="D21" s="16"/>
    </row>
    <row r="22" spans="1:9" ht="34.9" x14ac:dyDescent="0.6">
      <c r="A22" s="14" t="s">
        <v>243</v>
      </c>
      <c r="B22" s="30"/>
      <c r="C22" s="30"/>
      <c r="D22" s="30"/>
      <c r="E22" s="17"/>
    </row>
    <row r="23" spans="1:9" x14ac:dyDescent="0.6">
      <c r="B23" s="5" t="s">
        <v>120</v>
      </c>
      <c r="C23" s="5" t="s">
        <v>121</v>
      </c>
      <c r="D23" s="5" t="s">
        <v>122</v>
      </c>
      <c r="E23" s="5" t="s">
        <v>123</v>
      </c>
    </row>
    <row r="24" spans="1:9" x14ac:dyDescent="0.6">
      <c r="B24" s="8" t="s">
        <v>16</v>
      </c>
      <c r="C24" s="8" t="s">
        <v>254</v>
      </c>
      <c r="D24" s="8" t="s">
        <v>124</v>
      </c>
      <c r="E24" s="2" t="s">
        <v>156</v>
      </c>
    </row>
    <row r="25" spans="1:9" x14ac:dyDescent="0.6">
      <c r="B25" s="8" t="s">
        <v>252</v>
      </c>
      <c r="C25" s="8" t="s">
        <v>253</v>
      </c>
      <c r="D25" s="8" t="s">
        <v>124</v>
      </c>
      <c r="E25" s="2" t="s">
        <v>157</v>
      </c>
    </row>
    <row r="26" spans="1:9" ht="67.5" x14ac:dyDescent="0.6">
      <c r="B26" s="8" t="s">
        <v>255</v>
      </c>
      <c r="C26" s="8" t="s">
        <v>256</v>
      </c>
      <c r="D26" s="8" t="s">
        <v>124</v>
      </c>
      <c r="E26" s="15" t="s">
        <v>288</v>
      </c>
    </row>
    <row r="27" spans="1:9" ht="84.4" x14ac:dyDescent="0.6">
      <c r="B27" s="8" t="s">
        <v>377</v>
      </c>
      <c r="C27" s="8" t="s">
        <v>378</v>
      </c>
      <c r="D27" s="8" t="s">
        <v>143</v>
      </c>
      <c r="E27" s="15" t="s">
        <v>387</v>
      </c>
    </row>
    <row r="28" spans="1:9" ht="50.65" x14ac:dyDescent="0.6">
      <c r="B28" s="8" t="s">
        <v>381</v>
      </c>
      <c r="C28" s="8" t="s">
        <v>380</v>
      </c>
      <c r="D28" s="8" t="s">
        <v>382</v>
      </c>
      <c r="E28" s="15" t="s">
        <v>390</v>
      </c>
      <c r="G28" s="8">
        <v>8</v>
      </c>
      <c r="H28" s="8">
        <v>1</v>
      </c>
      <c r="I28" s="8">
        <v>2</v>
      </c>
    </row>
    <row r="29" spans="1:9" x14ac:dyDescent="0.6">
      <c r="B29" s="8" t="s">
        <v>391</v>
      </c>
      <c r="C29" s="8" t="s">
        <v>383</v>
      </c>
      <c r="D29" s="8" t="s">
        <v>382</v>
      </c>
      <c r="E29" s="15" t="s">
        <v>389</v>
      </c>
      <c r="G29" s="8">
        <v>7</v>
      </c>
      <c r="H29" s="8" t="s">
        <v>379</v>
      </c>
      <c r="I29" s="8">
        <v>3</v>
      </c>
    </row>
    <row r="30" spans="1:9" ht="33.75" x14ac:dyDescent="0.6">
      <c r="B30" s="8" t="s">
        <v>41</v>
      </c>
      <c r="C30" s="8" t="s">
        <v>158</v>
      </c>
      <c r="D30" s="18" t="s">
        <v>130</v>
      </c>
      <c r="E30" s="15" t="s">
        <v>286</v>
      </c>
      <c r="G30" s="8">
        <v>6</v>
      </c>
      <c r="H30" s="8">
        <v>5</v>
      </c>
      <c r="I30" s="8">
        <v>4</v>
      </c>
    </row>
    <row r="31" spans="1:9" ht="33.75" x14ac:dyDescent="0.6">
      <c r="B31" s="8" t="s">
        <v>291</v>
      </c>
      <c r="C31" s="8" t="s">
        <v>290</v>
      </c>
      <c r="D31" s="18" t="s">
        <v>130</v>
      </c>
      <c r="E31" s="15" t="s">
        <v>388</v>
      </c>
    </row>
    <row r="32" spans="1:9" x14ac:dyDescent="0.6">
      <c r="B32" s="8" t="s">
        <v>664</v>
      </c>
      <c r="C32" s="8" t="s">
        <v>663</v>
      </c>
      <c r="D32" s="18" t="s">
        <v>662</v>
      </c>
      <c r="E32" s="15" t="s">
        <v>665</v>
      </c>
    </row>
    <row r="34" spans="1:5" ht="34.9" x14ac:dyDescent="0.6">
      <c r="A34" s="14" t="s">
        <v>234</v>
      </c>
    </row>
    <row r="35" spans="1:5" x14ac:dyDescent="0.6">
      <c r="B35" s="5" t="s">
        <v>120</v>
      </c>
      <c r="C35" s="5" t="s">
        <v>121</v>
      </c>
      <c r="D35" s="5" t="s">
        <v>122</v>
      </c>
      <c r="E35" s="5" t="s">
        <v>123</v>
      </c>
    </row>
    <row r="36" spans="1:5" ht="17.25" thickBot="1" x14ac:dyDescent="0.65">
      <c r="B36" s="28" t="s">
        <v>132</v>
      </c>
      <c r="C36" s="28" t="s">
        <v>150</v>
      </c>
      <c r="D36" s="28" t="s">
        <v>124</v>
      </c>
      <c r="E36" s="29" t="s">
        <v>131</v>
      </c>
    </row>
    <row r="37" spans="1:5" ht="17.649999999999999" thickTop="1" thickBot="1" x14ac:dyDescent="0.65">
      <c r="B37" s="52" t="s">
        <v>668</v>
      </c>
      <c r="C37" s="52" t="s">
        <v>667</v>
      </c>
      <c r="D37" s="52" t="s">
        <v>125</v>
      </c>
      <c r="E37" s="68" t="s">
        <v>671</v>
      </c>
    </row>
    <row r="38" spans="1:5" ht="17.25" thickTop="1" x14ac:dyDescent="0.6">
      <c r="B38" s="28" t="s">
        <v>147</v>
      </c>
      <c r="C38" s="28" t="s">
        <v>148</v>
      </c>
      <c r="D38" s="28" t="s">
        <v>125</v>
      </c>
      <c r="E38" s="29" t="s">
        <v>126</v>
      </c>
    </row>
    <row r="39" spans="1:5" ht="17.25" thickBot="1" x14ac:dyDescent="0.65">
      <c r="B39" s="28" t="s">
        <v>192</v>
      </c>
      <c r="C39" s="28" t="s">
        <v>149</v>
      </c>
      <c r="D39" s="28" t="s">
        <v>125</v>
      </c>
      <c r="E39" s="29" t="s">
        <v>133</v>
      </c>
    </row>
    <row r="40" spans="1:5" ht="17.649999999999999" thickTop="1" thickBot="1" x14ac:dyDescent="0.65">
      <c r="B40" s="52" t="s">
        <v>669</v>
      </c>
      <c r="C40" s="52" t="s">
        <v>666</v>
      </c>
      <c r="D40" s="52" t="s">
        <v>125</v>
      </c>
      <c r="E40" s="68" t="s">
        <v>670</v>
      </c>
    </row>
    <row r="41" spans="1:5" ht="17.25" thickTop="1" x14ac:dyDescent="0.6">
      <c r="B41" s="119" t="s">
        <v>233</v>
      </c>
      <c r="C41" s="120"/>
      <c r="D41" s="120"/>
      <c r="E41" s="120"/>
    </row>
    <row r="42" spans="1:5" x14ac:dyDescent="0.6">
      <c r="B42" s="8" t="s">
        <v>186</v>
      </c>
      <c r="C42" s="8" t="s">
        <v>184</v>
      </c>
      <c r="D42" s="8" t="s">
        <v>143</v>
      </c>
      <c r="E42" s="2" t="s">
        <v>204</v>
      </c>
    </row>
    <row r="43" spans="1:5" x14ac:dyDescent="0.6">
      <c r="B43" s="8" t="s">
        <v>187</v>
      </c>
      <c r="C43" s="8" t="s">
        <v>185</v>
      </c>
      <c r="D43" s="8" t="s">
        <v>143</v>
      </c>
      <c r="E43" s="15" t="s">
        <v>205</v>
      </c>
    </row>
    <row r="44" spans="1:5" x14ac:dyDescent="0.6">
      <c r="B44" s="16"/>
      <c r="C44" s="16"/>
      <c r="D44" s="16"/>
    </row>
    <row r="45" spans="1:5" ht="34.9" x14ac:dyDescent="0.6">
      <c r="A45" s="14" t="s">
        <v>235</v>
      </c>
    </row>
    <row r="46" spans="1:5" ht="34.9" x14ac:dyDescent="0.6">
      <c r="A46" s="14"/>
      <c r="B46" s="5" t="s">
        <v>120</v>
      </c>
      <c r="C46" s="5" t="s">
        <v>121</v>
      </c>
      <c r="D46" s="5" t="s">
        <v>122</v>
      </c>
      <c r="E46" s="5" t="s">
        <v>123</v>
      </c>
    </row>
    <row r="47" spans="1:5" x14ac:dyDescent="0.6">
      <c r="B47" s="28" t="s">
        <v>136</v>
      </c>
      <c r="C47" s="28" t="s">
        <v>137</v>
      </c>
      <c r="D47" s="28" t="s">
        <v>124</v>
      </c>
      <c r="E47" s="29" t="s">
        <v>138</v>
      </c>
    </row>
    <row r="48" spans="1:5" x14ac:dyDescent="0.6">
      <c r="B48" s="28" t="s">
        <v>145</v>
      </c>
      <c r="C48" s="28" t="s">
        <v>146</v>
      </c>
      <c r="D48" s="28" t="s">
        <v>125</v>
      </c>
      <c r="E48" s="29" t="s">
        <v>126</v>
      </c>
    </row>
    <row r="49" spans="1:5" x14ac:dyDescent="0.6">
      <c r="B49" s="28" t="s">
        <v>210</v>
      </c>
      <c r="C49" s="28" t="s">
        <v>212</v>
      </c>
      <c r="D49" s="28" t="s">
        <v>125</v>
      </c>
      <c r="E49" s="29" t="s">
        <v>133</v>
      </c>
    </row>
    <row r="50" spans="1:5" x14ac:dyDescent="0.6">
      <c r="B50" s="119" t="s">
        <v>233</v>
      </c>
      <c r="C50" s="120"/>
      <c r="D50" s="120"/>
      <c r="E50" s="120"/>
    </row>
    <row r="51" spans="1:5" x14ac:dyDescent="0.6">
      <c r="B51" s="28" t="s">
        <v>239</v>
      </c>
      <c r="C51" s="28" t="s">
        <v>244</v>
      </c>
      <c r="D51" s="28" t="s">
        <v>125</v>
      </c>
      <c r="E51" s="29" t="s">
        <v>168</v>
      </c>
    </row>
    <row r="52" spans="1:5" x14ac:dyDescent="0.6">
      <c r="B52" s="28" t="s">
        <v>247</v>
      </c>
      <c r="C52" s="44" t="s">
        <v>245</v>
      </c>
      <c r="D52" s="28" t="s">
        <v>125</v>
      </c>
      <c r="E52" s="29"/>
    </row>
    <row r="53" spans="1:5" x14ac:dyDescent="0.6">
      <c r="B53" s="121" t="s">
        <v>242</v>
      </c>
      <c r="C53" s="121"/>
      <c r="D53" s="121"/>
      <c r="E53" s="121"/>
    </row>
    <row r="54" spans="1:5" x14ac:dyDescent="0.6">
      <c r="B54" s="28" t="s">
        <v>240</v>
      </c>
      <c r="C54" s="28" t="s">
        <v>246</v>
      </c>
      <c r="D54" s="28" t="s">
        <v>125</v>
      </c>
      <c r="E54" s="29" t="s">
        <v>169</v>
      </c>
    </row>
    <row r="55" spans="1:5" x14ac:dyDescent="0.6">
      <c r="B55" s="44" t="s">
        <v>248</v>
      </c>
      <c r="C55" s="44" t="s">
        <v>245</v>
      </c>
      <c r="D55" s="28" t="s">
        <v>125</v>
      </c>
      <c r="E55" s="29"/>
    </row>
    <row r="56" spans="1:5" x14ac:dyDescent="0.6">
      <c r="B56" s="121" t="s">
        <v>241</v>
      </c>
      <c r="C56" s="121"/>
      <c r="D56" s="121"/>
      <c r="E56" s="121"/>
    </row>
    <row r="57" spans="1:5" x14ac:dyDescent="0.6">
      <c r="B57" s="28" t="s">
        <v>236</v>
      </c>
      <c r="C57" s="28" t="s">
        <v>144</v>
      </c>
      <c r="D57" s="28" t="s">
        <v>125</v>
      </c>
      <c r="E57" s="29"/>
    </row>
    <row r="58" spans="1:5" x14ac:dyDescent="0.6">
      <c r="B58" s="28" t="s">
        <v>357</v>
      </c>
      <c r="C58" s="28" t="s">
        <v>358</v>
      </c>
      <c r="D58" s="28" t="s">
        <v>124</v>
      </c>
      <c r="E58" s="29"/>
    </row>
    <row r="59" spans="1:5" ht="33.75" x14ac:dyDescent="0.6">
      <c r="B59" s="28" t="s">
        <v>359</v>
      </c>
      <c r="C59" s="28" t="s">
        <v>362</v>
      </c>
      <c r="D59" s="8" t="s">
        <v>143</v>
      </c>
      <c r="E59" s="53" t="s">
        <v>373</v>
      </c>
    </row>
    <row r="60" spans="1:5" x14ac:dyDescent="0.6">
      <c r="B60" s="28" t="s">
        <v>360</v>
      </c>
      <c r="C60" s="28" t="s">
        <v>363</v>
      </c>
      <c r="D60" s="28" t="s">
        <v>124</v>
      </c>
      <c r="E60" s="29" t="s">
        <v>369</v>
      </c>
    </row>
    <row r="61" spans="1:5" x14ac:dyDescent="0.6">
      <c r="B61" s="28" t="s">
        <v>361</v>
      </c>
      <c r="C61" s="28" t="s">
        <v>364</v>
      </c>
      <c r="D61" s="28" t="s">
        <v>124</v>
      </c>
      <c r="E61" s="29" t="s">
        <v>365</v>
      </c>
    </row>
    <row r="62" spans="1:5" x14ac:dyDescent="0.6">
      <c r="B62" s="94"/>
      <c r="C62" s="94"/>
      <c r="D62" s="94"/>
      <c r="E62" s="95"/>
    </row>
    <row r="63" spans="1:5" ht="34.9" x14ac:dyDescent="0.6">
      <c r="A63" s="14" t="s">
        <v>517</v>
      </c>
      <c r="B63" s="94"/>
      <c r="C63" s="94"/>
      <c r="D63" s="94"/>
      <c r="E63" s="95"/>
    </row>
    <row r="64" spans="1:5" x14ac:dyDescent="0.6">
      <c r="B64" s="92" t="s">
        <v>120</v>
      </c>
      <c r="C64" s="92" t="s">
        <v>121</v>
      </c>
      <c r="D64" s="92" t="s">
        <v>122</v>
      </c>
      <c r="E64" s="92" t="s">
        <v>123</v>
      </c>
    </row>
    <row r="65" spans="1:5" ht="33.75" x14ac:dyDescent="0.6">
      <c r="B65" s="8" t="s">
        <v>520</v>
      </c>
      <c r="C65" s="18" t="s">
        <v>519</v>
      </c>
      <c r="D65" s="28" t="s">
        <v>124</v>
      </c>
      <c r="E65" s="15" t="s">
        <v>521</v>
      </c>
    </row>
    <row r="66" spans="1:5" ht="67.5" x14ac:dyDescent="0.6">
      <c r="B66" s="8" t="s">
        <v>523</v>
      </c>
      <c r="C66" s="8" t="s">
        <v>522</v>
      </c>
      <c r="D66" s="28" t="s">
        <v>124</v>
      </c>
      <c r="E66" s="15" t="s">
        <v>613</v>
      </c>
    </row>
    <row r="67" spans="1:5" ht="33.75" x14ac:dyDescent="0.6">
      <c r="B67" s="18" t="s">
        <v>538</v>
      </c>
      <c r="C67" s="18" t="s">
        <v>530</v>
      </c>
      <c r="D67" s="28" t="s">
        <v>124</v>
      </c>
      <c r="E67" s="15" t="s">
        <v>616</v>
      </c>
    </row>
    <row r="68" spans="1:5" ht="33.75" x14ac:dyDescent="0.6">
      <c r="B68" s="104" t="s">
        <v>539</v>
      </c>
      <c r="C68" s="104" t="s">
        <v>531</v>
      </c>
      <c r="D68" s="105" t="s">
        <v>124</v>
      </c>
      <c r="E68" s="106" t="s">
        <v>617</v>
      </c>
    </row>
    <row r="69" spans="1:5" ht="50.65" x14ac:dyDescent="0.6">
      <c r="B69" s="90" t="s">
        <v>614</v>
      </c>
      <c r="C69" s="110" t="s">
        <v>532</v>
      </c>
      <c r="D69" s="90" t="s">
        <v>124</v>
      </c>
      <c r="E69" s="111" t="s">
        <v>618</v>
      </c>
    </row>
    <row r="70" spans="1:5" ht="33.75" x14ac:dyDescent="0.6">
      <c r="B70" s="90" t="s">
        <v>615</v>
      </c>
      <c r="C70" s="90" t="s">
        <v>533</v>
      </c>
      <c r="D70" s="90" t="s">
        <v>124</v>
      </c>
      <c r="E70" s="111" t="s">
        <v>619</v>
      </c>
    </row>
    <row r="71" spans="1:5" x14ac:dyDescent="0.6">
      <c r="B71" s="107" t="s">
        <v>540</v>
      </c>
      <c r="C71" s="107" t="s">
        <v>534</v>
      </c>
      <c r="D71" s="108" t="s">
        <v>124</v>
      </c>
      <c r="E71" s="109" t="s">
        <v>536</v>
      </c>
    </row>
    <row r="72" spans="1:5" x14ac:dyDescent="0.6">
      <c r="B72" s="8" t="s">
        <v>541</v>
      </c>
      <c r="C72" s="8" t="s">
        <v>535</v>
      </c>
      <c r="D72" s="28" t="s">
        <v>124</v>
      </c>
      <c r="E72" s="15" t="s">
        <v>537</v>
      </c>
    </row>
    <row r="73" spans="1:5" x14ac:dyDescent="0.6">
      <c r="B73" s="30"/>
      <c r="C73" s="30"/>
      <c r="D73" s="30"/>
      <c r="E73" s="17"/>
    </row>
    <row r="74" spans="1:5" ht="34.9" x14ac:dyDescent="0.6">
      <c r="A74" s="14" t="s">
        <v>518</v>
      </c>
    </row>
    <row r="75" spans="1:5" x14ac:dyDescent="0.6">
      <c r="B75" s="5" t="s">
        <v>120</v>
      </c>
      <c r="C75" s="5" t="s">
        <v>121</v>
      </c>
      <c r="D75" s="5" t="s">
        <v>122</v>
      </c>
      <c r="E75" s="5" t="s">
        <v>123</v>
      </c>
    </row>
    <row r="76" spans="1:5" x14ac:dyDescent="0.6">
      <c r="B76" s="8" t="s">
        <v>52</v>
      </c>
      <c r="C76" s="8" t="s">
        <v>51</v>
      </c>
      <c r="D76" s="8" t="s">
        <v>124</v>
      </c>
      <c r="E76" s="2" t="s">
        <v>142</v>
      </c>
    </row>
    <row r="77" spans="1:5" x14ac:dyDescent="0.6">
      <c r="B77" s="8" t="s">
        <v>164</v>
      </c>
      <c r="C77" s="8" t="s">
        <v>1</v>
      </c>
      <c r="D77" s="8" t="s">
        <v>125</v>
      </c>
      <c r="E77" s="2" t="s">
        <v>163</v>
      </c>
    </row>
    <row r="78" spans="1:5" x14ac:dyDescent="0.6">
      <c r="B78" s="8" t="s">
        <v>154</v>
      </c>
      <c r="C78" s="8" t="s">
        <v>155</v>
      </c>
      <c r="D78" s="8" t="s">
        <v>124</v>
      </c>
      <c r="E78" s="2"/>
    </row>
    <row r="79" spans="1:5" x14ac:dyDescent="0.6">
      <c r="B79" s="8" t="s">
        <v>38</v>
      </c>
      <c r="C79" s="8" t="s">
        <v>37</v>
      </c>
      <c r="D79" s="8" t="s">
        <v>125</v>
      </c>
      <c r="E79" s="2"/>
    </row>
    <row r="80" spans="1:5" x14ac:dyDescent="0.6">
      <c r="B80" s="8" t="s">
        <v>40</v>
      </c>
      <c r="C80" s="8" t="s">
        <v>39</v>
      </c>
      <c r="D80" s="8" t="s">
        <v>125</v>
      </c>
      <c r="E80" s="2"/>
    </row>
    <row r="81" spans="1:5" x14ac:dyDescent="0.6">
      <c r="B81" s="119" t="s">
        <v>250</v>
      </c>
      <c r="C81" s="120"/>
      <c r="D81" s="120"/>
      <c r="E81" s="120"/>
    </row>
    <row r="83" spans="1:5" ht="34.9" x14ac:dyDescent="0.6">
      <c r="A83" s="14" t="s">
        <v>249</v>
      </c>
    </row>
    <row r="84" spans="1:5" x14ac:dyDescent="0.6">
      <c r="B84" s="5" t="s">
        <v>120</v>
      </c>
      <c r="C84" s="5" t="s">
        <v>121</v>
      </c>
      <c r="D84" s="5" t="s">
        <v>122</v>
      </c>
      <c r="E84" s="5" t="s">
        <v>123</v>
      </c>
    </row>
    <row r="85" spans="1:5" ht="33.75" x14ac:dyDescent="0.6">
      <c r="B85" s="8" t="s">
        <v>119</v>
      </c>
      <c r="C85" s="8" t="s">
        <v>139</v>
      </c>
      <c r="D85" s="8" t="s">
        <v>124</v>
      </c>
      <c r="E85" s="15" t="s">
        <v>141</v>
      </c>
    </row>
    <row r="86" spans="1:5" x14ac:dyDescent="0.6">
      <c r="B86" s="8" t="s">
        <v>113</v>
      </c>
      <c r="C86" s="8" t="s">
        <v>166</v>
      </c>
      <c r="D86" s="8" t="s">
        <v>125</v>
      </c>
      <c r="E86" s="2"/>
    </row>
    <row r="87" spans="1:5" x14ac:dyDescent="0.6">
      <c r="B87" s="8" t="s">
        <v>165</v>
      </c>
      <c r="C87" s="8" t="s">
        <v>167</v>
      </c>
      <c r="D87" s="8" t="s">
        <v>125</v>
      </c>
      <c r="E87" s="2"/>
    </row>
    <row r="88" spans="1:5" x14ac:dyDescent="0.6">
      <c r="B88" s="8" t="s">
        <v>176</v>
      </c>
      <c r="C88" s="8" t="s">
        <v>175</v>
      </c>
      <c r="D88" s="8" t="s">
        <v>124</v>
      </c>
      <c r="E88" s="2"/>
    </row>
    <row r="89" spans="1:5" x14ac:dyDescent="0.6">
      <c r="B89" s="8" t="s">
        <v>177</v>
      </c>
      <c r="C89" s="8" t="s">
        <v>173</v>
      </c>
      <c r="D89" s="8" t="s">
        <v>124</v>
      </c>
      <c r="E89" s="2"/>
    </row>
    <row r="90" spans="1:5" x14ac:dyDescent="0.6">
      <c r="B90" s="8" t="s">
        <v>178</v>
      </c>
      <c r="C90" s="8" t="s">
        <v>174</v>
      </c>
      <c r="D90" s="8" t="s">
        <v>124</v>
      </c>
      <c r="E90" s="2" t="s">
        <v>179</v>
      </c>
    </row>
    <row r="91" spans="1:5" x14ac:dyDescent="0.6">
      <c r="B91" s="8" t="s">
        <v>180</v>
      </c>
      <c r="C91" s="8" t="s">
        <v>171</v>
      </c>
      <c r="D91" s="8" t="s">
        <v>124</v>
      </c>
      <c r="E91" s="2" t="s">
        <v>365</v>
      </c>
    </row>
    <row r="92" spans="1:5" x14ac:dyDescent="0.6">
      <c r="B92" s="8" t="s">
        <v>181</v>
      </c>
      <c r="C92" s="8" t="s">
        <v>172</v>
      </c>
      <c r="D92" s="8" t="s">
        <v>124</v>
      </c>
      <c r="E92" s="2" t="s">
        <v>365</v>
      </c>
    </row>
    <row r="93" spans="1:5" x14ac:dyDescent="0.6">
      <c r="B93" s="8" t="s">
        <v>182</v>
      </c>
      <c r="C93" s="8" t="s">
        <v>287</v>
      </c>
      <c r="D93" s="8" t="s">
        <v>124</v>
      </c>
      <c r="E93" s="15" t="s">
        <v>365</v>
      </c>
    </row>
    <row r="94" spans="1:5" x14ac:dyDescent="0.6">
      <c r="B94" s="8" t="s">
        <v>183</v>
      </c>
      <c r="C94" s="18" t="s">
        <v>170</v>
      </c>
      <c r="D94" s="18" t="s">
        <v>124</v>
      </c>
      <c r="E94" s="15"/>
    </row>
    <row r="95" spans="1:5" ht="33.75" x14ac:dyDescent="0.6">
      <c r="B95" s="8" t="s">
        <v>53</v>
      </c>
      <c r="C95" s="8" t="s">
        <v>159</v>
      </c>
      <c r="D95" s="8" t="s">
        <v>124</v>
      </c>
      <c r="E95" s="15" t="s">
        <v>140</v>
      </c>
    </row>
    <row r="96" spans="1:5" x14ac:dyDescent="0.6">
      <c r="B96" s="8" t="s">
        <v>115</v>
      </c>
      <c r="C96" s="8" t="s">
        <v>160</v>
      </c>
      <c r="D96" s="8" t="s">
        <v>125</v>
      </c>
      <c r="E96" s="2"/>
    </row>
    <row r="97" spans="2:5" x14ac:dyDescent="0.6">
      <c r="B97" s="8" t="s">
        <v>117</v>
      </c>
      <c r="C97" s="8" t="s">
        <v>161</v>
      </c>
      <c r="D97" s="8" t="s">
        <v>125</v>
      </c>
      <c r="E97" s="2"/>
    </row>
    <row r="98" spans="2:5" x14ac:dyDescent="0.6">
      <c r="B98" s="119" t="s">
        <v>251</v>
      </c>
      <c r="C98" s="120"/>
      <c r="D98" s="120"/>
      <c r="E98" s="120"/>
    </row>
  </sheetData>
  <mergeCells count="6">
    <mergeCell ref="B98:E98"/>
    <mergeCell ref="B41:E41"/>
    <mergeCell ref="B50:E50"/>
    <mergeCell ref="B53:E53"/>
    <mergeCell ref="B56:E56"/>
    <mergeCell ref="B81:E81"/>
  </mergeCells>
  <phoneticPr fontId="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ADB8A-A56B-4172-9C74-8340E2A91FD9}">
  <dimension ref="A1:L7"/>
  <sheetViews>
    <sheetView zoomScale="85" zoomScaleNormal="85" workbookViewId="0"/>
  </sheetViews>
  <sheetFormatPr defaultColWidth="8.5625" defaultRowHeight="16.899999999999999" x14ac:dyDescent="0.6"/>
  <cols>
    <col min="1" max="2" width="12.5625" style="8" customWidth="1"/>
    <col min="3" max="3" width="32.9375" style="21" bestFit="1" customWidth="1"/>
    <col min="4" max="6" width="16.5625" style="8" customWidth="1"/>
    <col min="7" max="10" width="12.5625" style="8" customWidth="1"/>
    <col min="11" max="12" width="50.5625" style="8" customWidth="1"/>
    <col min="13" max="16384" width="8.5625" style="16"/>
  </cols>
  <sheetData>
    <row r="1" spans="1:12" ht="33.75" x14ac:dyDescent="0.6">
      <c r="A1" s="5" t="s">
        <v>150</v>
      </c>
      <c r="B1" s="5" t="s">
        <v>148</v>
      </c>
      <c r="C1" s="5" t="s">
        <v>191</v>
      </c>
      <c r="D1" s="5" t="s">
        <v>636</v>
      </c>
      <c r="E1" s="5" t="s">
        <v>635</v>
      </c>
      <c r="F1" s="5" t="s">
        <v>634</v>
      </c>
      <c r="G1" s="5" t="s">
        <v>2</v>
      </c>
      <c r="H1" s="5" t="s">
        <v>6</v>
      </c>
      <c r="I1" s="5" t="s">
        <v>188</v>
      </c>
      <c r="J1" s="5" t="s">
        <v>3</v>
      </c>
      <c r="K1" s="4" t="s">
        <v>194</v>
      </c>
      <c r="L1" s="4" t="s">
        <v>195</v>
      </c>
    </row>
    <row r="2" spans="1:12" ht="33.75" x14ac:dyDescent="0.6">
      <c r="A2" s="4" t="s">
        <v>190</v>
      </c>
      <c r="B2" s="5" t="s">
        <v>147</v>
      </c>
      <c r="C2" s="4" t="s">
        <v>110</v>
      </c>
      <c r="D2" s="5" t="s">
        <v>622</v>
      </c>
      <c r="E2" s="5" t="s">
        <v>545</v>
      </c>
      <c r="F2" s="4" t="s">
        <v>546</v>
      </c>
      <c r="G2" s="5" t="s">
        <v>9</v>
      </c>
      <c r="H2" s="5" t="s">
        <v>8</v>
      </c>
      <c r="I2" s="5" t="s">
        <v>193</v>
      </c>
      <c r="J2" s="5" t="s">
        <v>5</v>
      </c>
      <c r="K2" s="4" t="s">
        <v>127</v>
      </c>
      <c r="L2" s="4" t="s">
        <v>128</v>
      </c>
    </row>
    <row r="3" spans="1:12" x14ac:dyDescent="0.6">
      <c r="A3" s="8">
        <v>10001</v>
      </c>
      <c r="B3" s="8" t="s">
        <v>455</v>
      </c>
      <c r="C3" s="21" t="s">
        <v>198</v>
      </c>
      <c r="D3" s="8">
        <v>7</v>
      </c>
      <c r="E3" s="8">
        <v>7</v>
      </c>
      <c r="F3" s="8">
        <v>6</v>
      </c>
      <c r="G3" s="33">
        <v>0.1</v>
      </c>
      <c r="H3" s="33">
        <v>0.25</v>
      </c>
      <c r="I3" s="33">
        <v>0.1</v>
      </c>
      <c r="J3" s="8">
        <v>1</v>
      </c>
      <c r="K3" s="32" t="s">
        <v>200</v>
      </c>
      <c r="L3" s="8" t="s">
        <v>206</v>
      </c>
    </row>
    <row r="4" spans="1:12" x14ac:dyDescent="0.6">
      <c r="A4" s="8">
        <v>10002</v>
      </c>
      <c r="B4" s="8" t="s">
        <v>457</v>
      </c>
      <c r="C4" s="21" t="s">
        <v>196</v>
      </c>
      <c r="D4" s="8">
        <v>4</v>
      </c>
      <c r="E4" s="8">
        <v>12</v>
      </c>
      <c r="F4" s="8">
        <v>4</v>
      </c>
      <c r="G4" s="33">
        <v>0.3</v>
      </c>
      <c r="H4" s="33">
        <v>0.1</v>
      </c>
      <c r="I4" s="33">
        <v>0.2</v>
      </c>
      <c r="J4" s="8">
        <v>3</v>
      </c>
      <c r="K4" s="32" t="s">
        <v>201</v>
      </c>
      <c r="L4" s="8" t="s">
        <v>207</v>
      </c>
    </row>
    <row r="5" spans="1:12" x14ac:dyDescent="0.6">
      <c r="A5" s="8">
        <v>10003</v>
      </c>
      <c r="B5" s="8" t="s">
        <v>456</v>
      </c>
      <c r="C5" s="21" t="s">
        <v>197</v>
      </c>
      <c r="D5" s="8">
        <v>6</v>
      </c>
      <c r="E5" s="8">
        <v>12</v>
      </c>
      <c r="F5" s="8">
        <v>2</v>
      </c>
      <c r="G5" s="33">
        <v>0.2</v>
      </c>
      <c r="H5" s="33">
        <v>0.05</v>
      </c>
      <c r="I5" s="33">
        <v>0.1</v>
      </c>
      <c r="J5" s="8">
        <v>2</v>
      </c>
      <c r="K5" s="32" t="s">
        <v>202</v>
      </c>
      <c r="L5" s="8" t="s">
        <v>208</v>
      </c>
    </row>
    <row r="6" spans="1:12" x14ac:dyDescent="0.6">
      <c r="A6" s="8">
        <v>10004</v>
      </c>
      <c r="B6" s="8" t="s">
        <v>458</v>
      </c>
      <c r="C6" s="21" t="s">
        <v>199</v>
      </c>
      <c r="D6" s="8">
        <v>6</v>
      </c>
      <c r="E6" s="8">
        <v>8</v>
      </c>
      <c r="F6" s="8">
        <v>6</v>
      </c>
      <c r="G6" s="33">
        <v>0.1</v>
      </c>
      <c r="H6" s="33">
        <v>0.1</v>
      </c>
      <c r="I6" s="33">
        <v>0.15</v>
      </c>
      <c r="J6" s="8">
        <v>2</v>
      </c>
      <c r="K6" s="32" t="s">
        <v>203</v>
      </c>
      <c r="L6" s="8" t="s">
        <v>209</v>
      </c>
    </row>
    <row r="7" spans="1:12" x14ac:dyDescent="0.6">
      <c r="A7" s="8">
        <v>10005</v>
      </c>
      <c r="B7" s="8" t="s">
        <v>459</v>
      </c>
      <c r="C7" s="21" t="s">
        <v>463</v>
      </c>
      <c r="D7" s="8">
        <v>6</v>
      </c>
      <c r="E7" s="8">
        <v>9</v>
      </c>
      <c r="F7" s="8">
        <v>5</v>
      </c>
      <c r="G7" s="33">
        <v>0.15</v>
      </c>
      <c r="H7" s="33">
        <v>0.15</v>
      </c>
      <c r="I7" s="33">
        <v>0.15</v>
      </c>
      <c r="J7" s="8">
        <v>2</v>
      </c>
      <c r="K7" s="32" t="s">
        <v>464</v>
      </c>
      <c r="L7" s="8" t="s">
        <v>465</v>
      </c>
    </row>
  </sheetData>
  <phoneticPr fontId="4"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BADE7-A9EA-4249-8EFA-07CD80AB79A9}">
  <dimension ref="A1:AG34"/>
  <sheetViews>
    <sheetView zoomScale="85" zoomScaleNormal="85" workbookViewId="0">
      <pane xSplit="1" topLeftCell="B1" activePane="topRight" state="frozen"/>
      <selection pane="topRight"/>
    </sheetView>
  </sheetViews>
  <sheetFormatPr defaultColWidth="8.5625" defaultRowHeight="16.899999999999999" x14ac:dyDescent="0.6"/>
  <cols>
    <col min="1" max="1" width="12.5625" style="8" customWidth="1"/>
    <col min="2" max="2" width="20.5625" style="8" customWidth="1"/>
    <col min="3" max="3" width="15.75" style="8" bestFit="1" customWidth="1"/>
    <col min="4" max="6" width="16.5625" style="8" customWidth="1"/>
    <col min="7" max="9" width="12.5625" style="8" customWidth="1"/>
    <col min="10" max="10" width="12.5625" style="39" customWidth="1"/>
    <col min="11" max="11" width="20.5625" style="35" customWidth="1"/>
    <col min="12" max="12" width="38.25" style="35" bestFit="1" customWidth="1"/>
    <col min="13" max="13" width="20.5625" style="18" customWidth="1"/>
    <col min="14" max="15" width="20.5625" style="8" customWidth="1"/>
    <col min="16" max="18" width="20.5625" style="57" customWidth="1"/>
    <col min="19" max="19" width="20.5625" style="39" customWidth="1"/>
    <col min="20" max="20" width="20.5625" style="35" customWidth="1"/>
    <col min="21" max="21" width="30.5625" style="35" customWidth="1"/>
    <col min="22" max="22" width="20.5625" style="18" customWidth="1"/>
    <col min="23" max="24" width="20.5625" style="8" customWidth="1"/>
    <col min="25" max="27" width="20.5625" style="57" customWidth="1"/>
    <col min="28" max="28" width="20.5625" style="39" customWidth="1"/>
    <col min="29" max="29" width="73" style="56" bestFit="1" customWidth="1"/>
    <col min="30" max="30" width="20.5625" style="35" customWidth="1"/>
    <col min="31" max="31" width="28.8125" style="8" bestFit="1" customWidth="1"/>
    <col min="32" max="33" width="20.5625" style="8" customWidth="1"/>
    <col min="34" max="16384" width="8.5625" style="16"/>
  </cols>
  <sheetData>
    <row r="1" spans="1:33" ht="33.75" x14ac:dyDescent="0.6">
      <c r="A1" s="5" t="s">
        <v>137</v>
      </c>
      <c r="B1" s="5" t="s">
        <v>146</v>
      </c>
      <c r="C1" s="74" t="s">
        <v>211</v>
      </c>
      <c r="D1" s="5" t="s">
        <v>636</v>
      </c>
      <c r="E1" s="5" t="s">
        <v>635</v>
      </c>
      <c r="F1" s="5" t="s">
        <v>634</v>
      </c>
      <c r="G1" s="5" t="s">
        <v>2</v>
      </c>
      <c r="H1" s="5" t="s">
        <v>6</v>
      </c>
      <c r="I1" s="5" t="s">
        <v>188</v>
      </c>
      <c r="J1" s="38" t="s">
        <v>3</v>
      </c>
      <c r="K1" s="41" t="s">
        <v>219</v>
      </c>
      <c r="L1" s="41" t="s">
        <v>220</v>
      </c>
      <c r="M1" s="4" t="s">
        <v>278</v>
      </c>
      <c r="N1" s="4" t="s">
        <v>279</v>
      </c>
      <c r="O1" s="4" t="s">
        <v>280</v>
      </c>
      <c r="P1" s="4" t="s">
        <v>408</v>
      </c>
      <c r="Q1" s="4" t="s">
        <v>409</v>
      </c>
      <c r="R1" s="4" t="s">
        <v>410</v>
      </c>
      <c r="S1" s="37" t="s">
        <v>281</v>
      </c>
      <c r="T1" s="41" t="s">
        <v>230</v>
      </c>
      <c r="U1" s="41" t="s">
        <v>231</v>
      </c>
      <c r="V1" s="4" t="s">
        <v>282</v>
      </c>
      <c r="W1" s="4" t="s">
        <v>283</v>
      </c>
      <c r="X1" s="4" t="s">
        <v>284</v>
      </c>
      <c r="Y1" s="4" t="s">
        <v>411</v>
      </c>
      <c r="Z1" s="4" t="s">
        <v>412</v>
      </c>
      <c r="AA1" s="4" t="s">
        <v>413</v>
      </c>
      <c r="AB1" s="37" t="s">
        <v>285</v>
      </c>
      <c r="AC1" s="54" t="s">
        <v>213</v>
      </c>
      <c r="AD1" s="34" t="s">
        <v>358</v>
      </c>
      <c r="AE1" s="5" t="s">
        <v>362</v>
      </c>
      <c r="AF1" s="5" t="s">
        <v>363</v>
      </c>
      <c r="AG1" s="5" t="s">
        <v>364</v>
      </c>
    </row>
    <row r="2" spans="1:33" ht="67.5" x14ac:dyDescent="0.6">
      <c r="A2" s="4" t="s">
        <v>189</v>
      </c>
      <c r="B2" s="5" t="s">
        <v>214</v>
      </c>
      <c r="C2" s="74" t="s">
        <v>210</v>
      </c>
      <c r="D2" s="5" t="s">
        <v>622</v>
      </c>
      <c r="E2" s="5" t="s">
        <v>545</v>
      </c>
      <c r="F2" s="4" t="s">
        <v>546</v>
      </c>
      <c r="G2" s="5" t="s">
        <v>9</v>
      </c>
      <c r="H2" s="5" t="s">
        <v>8</v>
      </c>
      <c r="I2" s="5" t="s">
        <v>7</v>
      </c>
      <c r="J2" s="38" t="s">
        <v>5</v>
      </c>
      <c r="K2" s="41" t="s">
        <v>237</v>
      </c>
      <c r="L2" s="41" t="s">
        <v>221</v>
      </c>
      <c r="M2" s="4" t="s">
        <v>270</v>
      </c>
      <c r="N2" s="4" t="s">
        <v>271</v>
      </c>
      <c r="O2" s="4" t="s">
        <v>272</v>
      </c>
      <c r="P2" s="4" t="s">
        <v>414</v>
      </c>
      <c r="Q2" s="4" t="s">
        <v>415</v>
      </c>
      <c r="R2" s="4" t="s">
        <v>416</v>
      </c>
      <c r="S2" s="38" t="s">
        <v>277</v>
      </c>
      <c r="T2" s="41" t="s">
        <v>238</v>
      </c>
      <c r="U2" s="41" t="s">
        <v>229</v>
      </c>
      <c r="V2" s="4" t="s">
        <v>273</v>
      </c>
      <c r="W2" s="4" t="s">
        <v>274</v>
      </c>
      <c r="X2" s="4" t="s">
        <v>275</v>
      </c>
      <c r="Y2" s="4" t="s">
        <v>417</v>
      </c>
      <c r="Z2" s="4" t="s">
        <v>418</v>
      </c>
      <c r="AA2" s="4" t="s">
        <v>419</v>
      </c>
      <c r="AB2" s="38" t="s">
        <v>276</v>
      </c>
      <c r="AC2" s="54" t="s">
        <v>236</v>
      </c>
      <c r="AD2" s="34" t="s">
        <v>357</v>
      </c>
      <c r="AE2" s="4" t="s">
        <v>370</v>
      </c>
      <c r="AF2" s="4" t="s">
        <v>371</v>
      </c>
      <c r="AG2" s="4" t="s">
        <v>372</v>
      </c>
    </row>
    <row r="3" spans="1:33" x14ac:dyDescent="0.6">
      <c r="A3" s="8">
        <v>20001</v>
      </c>
      <c r="B3" s="8" t="s">
        <v>10</v>
      </c>
      <c r="C3" s="8" t="s">
        <v>215</v>
      </c>
      <c r="D3" s="8">
        <v>12</v>
      </c>
      <c r="E3" s="8">
        <v>6</v>
      </c>
      <c r="F3" s="8">
        <v>6</v>
      </c>
      <c r="G3" s="31">
        <v>0.1</v>
      </c>
      <c r="H3" s="31">
        <v>0.1</v>
      </c>
      <c r="I3" s="31">
        <v>0.1</v>
      </c>
      <c r="J3" s="39">
        <v>2</v>
      </c>
      <c r="K3" s="8" t="s">
        <v>223</v>
      </c>
      <c r="L3" s="19" t="s">
        <v>420</v>
      </c>
      <c r="M3" s="18">
        <v>0</v>
      </c>
      <c r="N3" s="8">
        <v>1</v>
      </c>
      <c r="O3" s="8">
        <v>0</v>
      </c>
      <c r="S3" s="39">
        <v>1</v>
      </c>
      <c r="T3" s="8" t="s">
        <v>226</v>
      </c>
      <c r="U3" s="21" t="s">
        <v>421</v>
      </c>
      <c r="V3" s="18">
        <v>0</v>
      </c>
      <c r="W3" s="8">
        <v>0</v>
      </c>
      <c r="X3" s="8">
        <v>1</v>
      </c>
      <c r="Y3" s="57" t="s">
        <v>400</v>
      </c>
      <c r="Z3" s="57">
        <v>0</v>
      </c>
      <c r="AB3" s="39">
        <v>0.5</v>
      </c>
      <c r="AC3" s="55" t="s">
        <v>23</v>
      </c>
      <c r="AD3" s="35">
        <v>10</v>
      </c>
      <c r="AE3" s="8" t="s">
        <v>374</v>
      </c>
      <c r="AF3" s="8">
        <v>1</v>
      </c>
      <c r="AG3" s="31">
        <v>0.7</v>
      </c>
    </row>
    <row r="4" spans="1:33" x14ac:dyDescent="0.6">
      <c r="A4" s="8">
        <v>20002</v>
      </c>
      <c r="B4" s="8" t="s">
        <v>11</v>
      </c>
      <c r="C4" s="8" t="s">
        <v>216</v>
      </c>
      <c r="D4" s="8">
        <v>27</v>
      </c>
      <c r="E4" s="8">
        <v>22</v>
      </c>
      <c r="F4" s="8">
        <v>10</v>
      </c>
      <c r="G4" s="31">
        <v>0.2</v>
      </c>
      <c r="H4" s="31">
        <v>0.15</v>
      </c>
      <c r="I4" s="31">
        <v>0.15</v>
      </c>
      <c r="J4" s="39">
        <v>3</v>
      </c>
      <c r="K4" s="8" t="s">
        <v>224</v>
      </c>
      <c r="L4" s="19" t="s">
        <v>222</v>
      </c>
      <c r="M4" s="18">
        <v>0</v>
      </c>
      <c r="N4" s="8">
        <v>2</v>
      </c>
      <c r="O4" s="8">
        <v>0</v>
      </c>
      <c r="S4" s="39">
        <v>1.3</v>
      </c>
      <c r="T4" s="8" t="s">
        <v>227</v>
      </c>
      <c r="U4" s="21" t="s">
        <v>19</v>
      </c>
      <c r="V4" s="18">
        <v>1</v>
      </c>
      <c r="X4" s="8">
        <v>0</v>
      </c>
      <c r="AB4" s="39">
        <v>50</v>
      </c>
      <c r="AC4" s="55" t="s">
        <v>22</v>
      </c>
      <c r="AD4" s="35">
        <v>20</v>
      </c>
      <c r="AE4" s="8" t="s">
        <v>375</v>
      </c>
      <c r="AF4" s="8">
        <v>1</v>
      </c>
      <c r="AG4" s="31">
        <v>0.5</v>
      </c>
    </row>
    <row r="5" spans="1:33" x14ac:dyDescent="0.6">
      <c r="A5" s="8">
        <v>20003</v>
      </c>
      <c r="B5" s="8" t="s">
        <v>12</v>
      </c>
      <c r="C5" s="8" t="s">
        <v>217</v>
      </c>
      <c r="D5" s="8">
        <v>50</v>
      </c>
      <c r="E5" s="8">
        <v>42</v>
      </c>
      <c r="F5" s="8">
        <v>14</v>
      </c>
      <c r="G5" s="31">
        <v>0.25</v>
      </c>
      <c r="H5" s="31">
        <v>0.2</v>
      </c>
      <c r="I5" s="31">
        <v>0.2</v>
      </c>
      <c r="J5" s="39">
        <v>1</v>
      </c>
      <c r="K5" s="8" t="s">
        <v>225</v>
      </c>
      <c r="L5" s="19" t="s">
        <v>222</v>
      </c>
      <c r="M5" s="18">
        <v>0</v>
      </c>
      <c r="N5" s="8">
        <v>2</v>
      </c>
      <c r="O5" s="8">
        <v>0</v>
      </c>
      <c r="S5" s="39">
        <v>1</v>
      </c>
      <c r="T5" s="8" t="s">
        <v>228</v>
      </c>
      <c r="U5" s="21" t="s">
        <v>20</v>
      </c>
      <c r="V5" s="18">
        <v>0</v>
      </c>
      <c r="W5" s="8">
        <v>1</v>
      </c>
      <c r="X5" s="8">
        <v>2</v>
      </c>
      <c r="AB5" s="39">
        <v>0.8</v>
      </c>
      <c r="AC5" s="55" t="s">
        <v>21</v>
      </c>
      <c r="AD5" s="35">
        <v>30</v>
      </c>
      <c r="AE5" s="8" t="s">
        <v>376</v>
      </c>
      <c r="AF5" s="8">
        <v>1</v>
      </c>
      <c r="AG5" s="31">
        <v>0.3</v>
      </c>
    </row>
    <row r="8" spans="1:33" x14ac:dyDescent="0.6">
      <c r="K8" s="9"/>
      <c r="L8" s="9"/>
      <c r="N8" s="18"/>
      <c r="O8" s="18"/>
      <c r="P8" s="58"/>
      <c r="Q8" s="58"/>
      <c r="R8" s="58"/>
      <c r="S8" s="43"/>
      <c r="T8" s="42"/>
      <c r="U8" s="42"/>
      <c r="W8" s="18"/>
      <c r="X8" s="18"/>
      <c r="Y8" s="58"/>
      <c r="Z8" s="58"/>
      <c r="AA8" s="58"/>
    </row>
    <row r="9" spans="1:33" x14ac:dyDescent="0.6">
      <c r="K9" s="9"/>
      <c r="L9" s="9"/>
      <c r="N9" s="18"/>
      <c r="O9" s="18"/>
      <c r="P9" s="58"/>
      <c r="Q9" s="58"/>
      <c r="R9" s="58"/>
      <c r="S9" s="43"/>
      <c r="T9" s="42"/>
      <c r="U9" s="42"/>
      <c r="W9" s="18"/>
    </row>
    <row r="10" spans="1:33" x14ac:dyDescent="0.6">
      <c r="K10" s="9"/>
      <c r="L10" s="9"/>
      <c r="N10" s="18"/>
      <c r="O10" s="18"/>
      <c r="P10" s="58"/>
      <c r="Q10" s="58"/>
      <c r="R10" s="58"/>
      <c r="S10" s="43"/>
      <c r="T10" s="42"/>
      <c r="U10" s="42"/>
      <c r="W10" s="18"/>
      <c r="X10" s="18"/>
      <c r="Y10" s="58"/>
      <c r="Z10" s="58"/>
      <c r="AA10" s="58"/>
    </row>
    <row r="11" spans="1:33" x14ac:dyDescent="0.6">
      <c r="K11" s="9"/>
      <c r="L11" s="9"/>
      <c r="N11" s="18"/>
      <c r="O11" s="18"/>
      <c r="P11" s="58"/>
      <c r="Q11" s="58"/>
      <c r="R11" s="58"/>
      <c r="S11" s="43"/>
      <c r="T11" s="42"/>
      <c r="U11" s="42"/>
      <c r="W11" s="18"/>
      <c r="X11" s="18"/>
      <c r="Y11" s="58"/>
      <c r="Z11" s="58"/>
      <c r="AA11" s="58"/>
    </row>
    <row r="12" spans="1:33" x14ac:dyDescent="0.6">
      <c r="K12" s="9"/>
      <c r="L12" s="9"/>
      <c r="N12" s="18"/>
      <c r="O12" s="18"/>
      <c r="P12" s="58"/>
      <c r="Q12" s="58"/>
      <c r="R12" s="58"/>
      <c r="S12" s="43"/>
      <c r="T12" s="42"/>
      <c r="U12" s="42"/>
      <c r="W12" s="18"/>
      <c r="X12" s="18"/>
      <c r="Y12" s="58"/>
      <c r="Z12" s="58"/>
      <c r="AA12" s="58"/>
    </row>
    <row r="13" spans="1:33" x14ac:dyDescent="0.6">
      <c r="K13" s="9"/>
      <c r="L13" s="9"/>
      <c r="N13" s="18"/>
      <c r="O13" s="18"/>
      <c r="P13" s="58"/>
      <c r="Q13" s="58"/>
      <c r="R13" s="58"/>
      <c r="S13" s="43"/>
      <c r="T13" s="42"/>
      <c r="U13" s="42"/>
      <c r="W13" s="18"/>
      <c r="X13" s="18"/>
      <c r="Y13" s="58"/>
      <c r="Z13" s="58"/>
      <c r="AA13" s="58"/>
    </row>
    <row r="14" spans="1:33" x14ac:dyDescent="0.6">
      <c r="K14" s="9"/>
      <c r="L14" s="9"/>
      <c r="N14" s="18"/>
      <c r="O14" s="18"/>
      <c r="P14" s="58"/>
      <c r="Q14" s="58"/>
      <c r="R14" s="58"/>
      <c r="S14" s="43"/>
      <c r="T14" s="42"/>
      <c r="U14" s="42"/>
      <c r="W14" s="18"/>
      <c r="X14" s="18"/>
      <c r="Y14" s="58"/>
      <c r="Z14" s="58"/>
      <c r="AA14" s="58"/>
    </row>
    <row r="15" spans="1:33" x14ac:dyDescent="0.6">
      <c r="K15" s="9"/>
      <c r="L15" s="9"/>
      <c r="N15" s="18"/>
      <c r="O15" s="18"/>
      <c r="P15" s="58"/>
      <c r="Q15" s="58"/>
      <c r="R15" s="58"/>
      <c r="S15" s="43"/>
      <c r="T15" s="42"/>
      <c r="U15" s="42"/>
      <c r="W15" s="18"/>
      <c r="X15" s="18"/>
      <c r="Y15" s="58"/>
      <c r="Z15" s="58"/>
      <c r="AA15" s="58"/>
    </row>
    <row r="16" spans="1:33" x14ac:dyDescent="0.6">
      <c r="K16" s="9"/>
      <c r="L16" s="9"/>
      <c r="N16" s="18"/>
      <c r="O16" s="18"/>
      <c r="P16" s="58"/>
      <c r="Q16" s="58"/>
      <c r="R16" s="58"/>
      <c r="S16" s="43"/>
      <c r="T16" s="42"/>
      <c r="U16" s="42"/>
      <c r="W16" s="18"/>
      <c r="X16" s="18"/>
      <c r="Y16" s="58"/>
      <c r="Z16" s="58"/>
      <c r="AA16" s="58"/>
    </row>
    <row r="17" spans="11:27" x14ac:dyDescent="0.6">
      <c r="K17" s="9"/>
      <c r="L17" s="9"/>
      <c r="N17" s="18"/>
      <c r="O17" s="18"/>
      <c r="P17" s="58"/>
      <c r="Q17" s="58"/>
      <c r="R17" s="58"/>
      <c r="S17" s="43"/>
      <c r="T17" s="42"/>
      <c r="U17" s="42"/>
      <c r="W17" s="18"/>
      <c r="X17" s="18"/>
      <c r="Y17" s="58"/>
      <c r="Z17" s="58"/>
      <c r="AA17" s="58"/>
    </row>
    <row r="18" spans="11:27" x14ac:dyDescent="0.6">
      <c r="K18" s="9"/>
      <c r="L18" s="9"/>
      <c r="N18" s="18"/>
      <c r="O18" s="18"/>
      <c r="P18" s="58"/>
      <c r="Q18" s="58"/>
      <c r="R18" s="58"/>
      <c r="S18" s="43"/>
      <c r="T18" s="42"/>
      <c r="U18" s="42"/>
      <c r="W18" s="18"/>
      <c r="X18" s="18"/>
      <c r="Y18" s="58"/>
      <c r="Z18" s="58"/>
      <c r="AA18" s="58"/>
    </row>
    <row r="19" spans="11:27" x14ac:dyDescent="0.6">
      <c r="K19" s="9"/>
      <c r="L19" s="9"/>
      <c r="N19" s="18"/>
      <c r="O19" s="18"/>
      <c r="P19" s="58"/>
      <c r="Q19" s="58"/>
      <c r="R19" s="58"/>
      <c r="S19" s="43"/>
      <c r="T19" s="42"/>
      <c r="U19" s="42"/>
      <c r="W19" s="18"/>
      <c r="X19" s="18"/>
      <c r="Y19" s="58"/>
      <c r="Z19" s="58"/>
      <c r="AA19" s="58"/>
    </row>
    <row r="20" spans="11:27" x14ac:dyDescent="0.6">
      <c r="K20" s="9"/>
      <c r="L20" s="9"/>
      <c r="N20" s="18"/>
      <c r="O20" s="18"/>
      <c r="P20" s="58"/>
      <c r="Q20" s="58"/>
      <c r="R20" s="58"/>
      <c r="S20" s="43"/>
      <c r="T20" s="42"/>
      <c r="U20" s="42"/>
      <c r="W20" s="18"/>
      <c r="X20" s="18"/>
      <c r="Y20" s="58"/>
      <c r="Z20" s="58"/>
      <c r="AA20" s="58"/>
    </row>
    <row r="21" spans="11:27" x14ac:dyDescent="0.6">
      <c r="K21" s="9"/>
      <c r="L21" s="9"/>
      <c r="N21" s="18"/>
      <c r="O21" s="18"/>
      <c r="P21" s="58"/>
      <c r="Q21" s="58"/>
      <c r="R21" s="58"/>
      <c r="S21" s="43"/>
      <c r="T21" s="42"/>
      <c r="U21" s="42"/>
      <c r="W21" s="18"/>
      <c r="X21" s="18"/>
      <c r="Y21" s="58"/>
      <c r="Z21" s="58"/>
      <c r="AA21" s="58"/>
    </row>
    <row r="22" spans="11:27" x14ac:dyDescent="0.6">
      <c r="K22" s="9"/>
      <c r="L22" s="9"/>
      <c r="N22" s="18"/>
      <c r="O22" s="18"/>
      <c r="P22" s="58"/>
      <c r="Q22" s="58"/>
      <c r="R22" s="58"/>
      <c r="S22" s="43"/>
      <c r="T22" s="42"/>
      <c r="U22" s="42"/>
      <c r="W22" s="18"/>
      <c r="X22" s="18"/>
      <c r="Y22" s="58"/>
      <c r="Z22" s="58"/>
      <c r="AA22" s="58"/>
    </row>
    <row r="23" spans="11:27" x14ac:dyDescent="0.6">
      <c r="K23" s="9"/>
      <c r="L23" s="9"/>
      <c r="N23" s="18"/>
      <c r="O23" s="18"/>
      <c r="P23" s="58"/>
      <c r="Q23" s="58"/>
      <c r="R23" s="58"/>
      <c r="S23" s="43"/>
      <c r="T23" s="42"/>
      <c r="U23" s="42"/>
      <c r="W23" s="18"/>
      <c r="X23" s="18"/>
      <c r="Y23" s="58"/>
      <c r="Z23" s="58"/>
      <c r="AA23" s="58"/>
    </row>
    <row r="24" spans="11:27" x14ac:dyDescent="0.6">
      <c r="K24" s="9"/>
      <c r="L24" s="9"/>
      <c r="N24" s="18"/>
      <c r="O24" s="18"/>
      <c r="P24" s="58"/>
      <c r="Q24" s="58"/>
      <c r="R24" s="58"/>
      <c r="S24" s="43"/>
      <c r="T24" s="42"/>
      <c r="U24" s="42"/>
      <c r="W24" s="18"/>
      <c r="X24" s="18"/>
      <c r="Y24" s="58"/>
      <c r="Z24" s="58"/>
      <c r="AA24" s="58"/>
    </row>
    <row r="25" spans="11:27" x14ac:dyDescent="0.6">
      <c r="K25" s="9"/>
      <c r="L25" s="9"/>
      <c r="N25" s="18"/>
      <c r="O25" s="18"/>
      <c r="P25" s="58"/>
      <c r="Q25" s="58"/>
      <c r="R25" s="58"/>
      <c r="S25" s="43"/>
      <c r="T25" s="42"/>
      <c r="U25" s="42"/>
      <c r="W25" s="18"/>
      <c r="X25" s="18"/>
      <c r="Y25" s="58"/>
      <c r="Z25" s="58"/>
      <c r="AA25" s="58"/>
    </row>
    <row r="26" spans="11:27" x14ac:dyDescent="0.6">
      <c r="K26" s="9"/>
      <c r="L26" s="9"/>
      <c r="N26" s="18"/>
      <c r="O26" s="18"/>
      <c r="P26" s="58"/>
      <c r="Q26" s="58"/>
      <c r="R26" s="58"/>
      <c r="S26" s="43"/>
      <c r="T26" s="42"/>
      <c r="U26" s="42"/>
      <c r="W26" s="18"/>
      <c r="X26" s="18"/>
      <c r="Y26" s="58"/>
      <c r="Z26" s="58"/>
      <c r="AA26" s="58"/>
    </row>
    <row r="27" spans="11:27" x14ac:dyDescent="0.6">
      <c r="K27" s="9"/>
      <c r="L27" s="9"/>
      <c r="N27" s="18"/>
      <c r="O27" s="18"/>
      <c r="P27" s="58"/>
      <c r="Q27" s="58"/>
      <c r="R27" s="58"/>
      <c r="S27" s="43"/>
      <c r="T27" s="42"/>
      <c r="U27" s="42"/>
      <c r="W27" s="18"/>
      <c r="X27" s="18"/>
      <c r="Y27" s="58"/>
      <c r="Z27" s="58"/>
      <c r="AA27" s="58"/>
    </row>
    <row r="28" spans="11:27" x14ac:dyDescent="0.6">
      <c r="K28" s="9"/>
      <c r="L28" s="9"/>
      <c r="N28" s="18"/>
      <c r="O28" s="18"/>
      <c r="P28" s="58"/>
      <c r="Q28" s="58"/>
      <c r="R28" s="58"/>
      <c r="S28" s="43"/>
      <c r="T28" s="42"/>
      <c r="U28" s="42"/>
      <c r="W28" s="18"/>
      <c r="X28" s="18"/>
      <c r="Y28" s="58"/>
      <c r="Z28" s="58"/>
      <c r="AA28" s="58"/>
    </row>
    <row r="29" spans="11:27" x14ac:dyDescent="0.6">
      <c r="K29" s="9"/>
      <c r="L29" s="9"/>
      <c r="N29" s="18"/>
      <c r="O29" s="18"/>
      <c r="P29" s="58"/>
      <c r="Q29" s="58"/>
      <c r="R29" s="58"/>
      <c r="S29" s="43"/>
      <c r="T29" s="42"/>
      <c r="U29" s="42"/>
      <c r="W29" s="18"/>
      <c r="X29" s="18"/>
      <c r="Y29" s="58"/>
      <c r="Z29" s="58"/>
      <c r="AA29" s="58"/>
    </row>
    <row r="30" spans="11:27" x14ac:dyDescent="0.6">
      <c r="K30" s="9"/>
      <c r="L30" s="9"/>
      <c r="N30" s="18"/>
      <c r="O30" s="18"/>
      <c r="P30" s="58"/>
      <c r="Q30" s="58"/>
      <c r="R30" s="58"/>
      <c r="S30" s="43"/>
      <c r="T30" s="42"/>
      <c r="U30" s="42"/>
      <c r="W30" s="18"/>
      <c r="X30" s="18"/>
      <c r="Y30" s="58"/>
      <c r="Z30" s="58"/>
      <c r="AA30" s="58"/>
    </row>
    <row r="31" spans="11:27" x14ac:dyDescent="0.6">
      <c r="K31" s="9"/>
      <c r="L31" s="9"/>
      <c r="N31" s="18"/>
      <c r="O31" s="18"/>
      <c r="P31" s="58"/>
      <c r="Q31" s="58"/>
      <c r="R31" s="58"/>
      <c r="S31" s="43"/>
      <c r="T31" s="42"/>
      <c r="U31" s="42"/>
      <c r="W31" s="18"/>
      <c r="X31" s="18"/>
      <c r="Y31" s="58"/>
      <c r="Z31" s="58"/>
      <c r="AA31" s="58"/>
    </row>
    <row r="32" spans="11:27" x14ac:dyDescent="0.6">
      <c r="K32" s="9"/>
      <c r="L32" s="9"/>
      <c r="N32" s="18"/>
      <c r="O32" s="18"/>
      <c r="P32" s="58"/>
      <c r="Q32" s="58"/>
      <c r="R32" s="58"/>
      <c r="S32" s="43"/>
      <c r="T32" s="42"/>
      <c r="U32" s="42"/>
      <c r="W32" s="18"/>
      <c r="X32" s="18"/>
      <c r="Y32" s="58"/>
      <c r="Z32" s="58"/>
      <c r="AA32" s="58"/>
    </row>
    <row r="33" spans="11:27" x14ac:dyDescent="0.6">
      <c r="K33" s="9"/>
      <c r="L33" s="9"/>
      <c r="N33" s="18"/>
      <c r="O33" s="18"/>
      <c r="P33" s="58"/>
      <c r="Q33" s="58"/>
      <c r="R33" s="58"/>
      <c r="S33" s="43"/>
      <c r="T33" s="42"/>
      <c r="U33" s="42"/>
      <c r="W33" s="18"/>
      <c r="X33" s="18"/>
      <c r="Y33" s="58"/>
      <c r="Z33" s="58"/>
      <c r="AA33" s="58"/>
    </row>
    <row r="34" spans="11:27" x14ac:dyDescent="0.6">
      <c r="K34" s="9"/>
      <c r="L34" s="9"/>
      <c r="N34" s="18"/>
      <c r="O34" s="18"/>
      <c r="P34" s="58"/>
      <c r="Q34" s="58"/>
      <c r="R34" s="58"/>
      <c r="S34" s="43"/>
      <c r="T34" s="42"/>
      <c r="U34" s="42"/>
      <c r="W34" s="18"/>
      <c r="X34" s="18"/>
      <c r="Y34" s="58"/>
      <c r="Z34" s="58"/>
      <c r="AA34" s="58"/>
    </row>
  </sheetData>
  <phoneticPr fontId="4"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DA6C9-D1CB-4A52-BF28-A60DE79D71F3}">
  <dimension ref="A1:L5"/>
  <sheetViews>
    <sheetView workbookViewId="0"/>
  </sheetViews>
  <sheetFormatPr defaultColWidth="12.5625" defaultRowHeight="17.649999999999999" thickTop="1" thickBottom="1" x14ac:dyDescent="0.65"/>
  <cols>
    <col min="1" max="5" width="12.5625" style="1"/>
    <col min="6" max="8" width="20.5625" style="1" customWidth="1"/>
    <col min="9" max="10" width="20.5625" style="68" hidden="1" customWidth="1"/>
    <col min="11" max="12" width="20.5625" style="1" customWidth="1"/>
    <col min="13" max="16384" width="12.5625" style="1"/>
  </cols>
  <sheetData>
    <row r="1" spans="1:12" ht="34.5" thickTop="1" thickBot="1" x14ac:dyDescent="0.65">
      <c r="A1" s="93" t="s">
        <v>497</v>
      </c>
      <c r="B1" s="93" t="s">
        <v>502</v>
      </c>
      <c r="C1" s="93" t="s">
        <v>503</v>
      </c>
      <c r="D1" s="93" t="s">
        <v>504</v>
      </c>
      <c r="E1" s="93" t="s">
        <v>505</v>
      </c>
      <c r="F1" s="93" t="s">
        <v>506</v>
      </c>
      <c r="G1" s="93" t="s">
        <v>511</v>
      </c>
      <c r="H1" s="93" t="s">
        <v>524</v>
      </c>
      <c r="I1" s="102" t="s">
        <v>510</v>
      </c>
      <c r="J1" s="102" t="s">
        <v>509</v>
      </c>
      <c r="K1" s="93" t="s">
        <v>528</v>
      </c>
      <c r="L1" s="93" t="s">
        <v>529</v>
      </c>
    </row>
    <row r="2" spans="1:12" ht="51.4" thickTop="1" thickBot="1" x14ac:dyDescent="0.65">
      <c r="A2" s="93" t="s">
        <v>496</v>
      </c>
      <c r="B2" s="93" t="s">
        <v>498</v>
      </c>
      <c r="C2" s="93" t="s">
        <v>499</v>
      </c>
      <c r="D2" s="93" t="s">
        <v>500</v>
      </c>
      <c r="E2" s="93" t="s">
        <v>501</v>
      </c>
      <c r="F2" s="93" t="s">
        <v>507</v>
      </c>
      <c r="G2" s="93" t="s">
        <v>621</v>
      </c>
      <c r="H2" s="93" t="s">
        <v>620</v>
      </c>
      <c r="I2" s="102" t="s">
        <v>508</v>
      </c>
      <c r="J2" s="102" t="s">
        <v>525</v>
      </c>
      <c r="K2" s="93" t="s">
        <v>526</v>
      </c>
      <c r="L2" s="93" t="s">
        <v>527</v>
      </c>
    </row>
    <row r="3" spans="1:12" thickTop="1" thickBot="1" x14ac:dyDescent="0.65">
      <c r="A3" s="8">
        <v>30001</v>
      </c>
      <c r="B3" s="8">
        <v>20001</v>
      </c>
      <c r="C3" s="8">
        <v>20001</v>
      </c>
      <c r="D3" s="8">
        <v>20002</v>
      </c>
      <c r="E3" s="8"/>
      <c r="F3" s="8">
        <v>0</v>
      </c>
      <c r="G3" s="31">
        <v>0.2</v>
      </c>
      <c r="H3" s="31">
        <v>0.8</v>
      </c>
      <c r="I3" s="103">
        <v>0.25</v>
      </c>
      <c r="J3" s="103">
        <v>0.75</v>
      </c>
      <c r="K3" s="8">
        <v>10</v>
      </c>
      <c r="L3" s="8">
        <v>5</v>
      </c>
    </row>
    <row r="4" spans="1:12" thickTop="1" thickBot="1" x14ac:dyDescent="0.65">
      <c r="A4" s="8">
        <v>30002</v>
      </c>
      <c r="B4" s="8">
        <v>20001</v>
      </c>
      <c r="C4" s="8">
        <v>20001</v>
      </c>
      <c r="D4" s="8">
        <v>20002</v>
      </c>
      <c r="E4" s="8"/>
      <c r="F4" s="8">
        <v>1</v>
      </c>
      <c r="G4" s="31">
        <v>0.5</v>
      </c>
      <c r="H4" s="31">
        <v>0.5</v>
      </c>
      <c r="I4" s="103">
        <v>0.5</v>
      </c>
      <c r="J4" s="103">
        <v>0.5</v>
      </c>
      <c r="K4" s="8">
        <v>10</v>
      </c>
      <c r="L4" s="8">
        <v>5</v>
      </c>
    </row>
    <row r="5" spans="1:12" thickTop="1" thickBot="1" x14ac:dyDescent="0.65">
      <c r="A5" s="8">
        <v>30003</v>
      </c>
      <c r="B5" s="8">
        <v>20001</v>
      </c>
      <c r="C5" s="8">
        <v>20001</v>
      </c>
      <c r="D5" s="8">
        <v>20002</v>
      </c>
      <c r="E5" s="8"/>
      <c r="F5" s="8">
        <v>2</v>
      </c>
      <c r="G5" s="31">
        <v>0.7</v>
      </c>
      <c r="H5" s="31">
        <v>0.3</v>
      </c>
      <c r="I5" s="103">
        <v>0.75</v>
      </c>
      <c r="J5" s="103">
        <v>0.25</v>
      </c>
      <c r="K5" s="8">
        <v>10</v>
      </c>
      <c r="L5" s="8">
        <v>5</v>
      </c>
    </row>
  </sheetData>
  <phoneticPr fontId="4"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FE46D-4BB7-427B-9F0B-E6CCD845ECB0}">
  <dimension ref="A1:R37"/>
  <sheetViews>
    <sheetView zoomScale="85" zoomScaleNormal="85" workbookViewId="0">
      <selection activeCell="E26" sqref="E26"/>
    </sheetView>
  </sheetViews>
  <sheetFormatPr defaultColWidth="8.5625" defaultRowHeight="16.899999999999999" x14ac:dyDescent="0.6"/>
  <cols>
    <col min="1" max="4" width="20.5625" style="8" customWidth="1"/>
    <col min="5" max="5" width="73.1875" style="9" customWidth="1"/>
    <col min="6" max="7" width="20.5625" style="18" customWidth="1"/>
    <col min="8" max="14" width="20.5625" style="8" customWidth="1"/>
    <col min="15" max="16384" width="8.5625" style="1"/>
  </cols>
  <sheetData>
    <row r="1" spans="1:18" ht="33.75" x14ac:dyDescent="0.6">
      <c r="A1" s="5" t="s">
        <v>51</v>
      </c>
      <c r="B1" s="5" t="s">
        <v>1</v>
      </c>
      <c r="C1" s="4" t="s">
        <v>218</v>
      </c>
      <c r="D1" s="5" t="s">
        <v>37</v>
      </c>
      <c r="E1" s="4" t="s">
        <v>39</v>
      </c>
      <c r="F1" s="114" t="s">
        <v>663</v>
      </c>
      <c r="G1" s="4" t="s">
        <v>267</v>
      </c>
      <c r="H1" s="4" t="s">
        <v>268</v>
      </c>
      <c r="I1" s="4" t="s">
        <v>269</v>
      </c>
      <c r="J1" s="4" t="s">
        <v>393</v>
      </c>
      <c r="K1" s="4" t="s">
        <v>394</v>
      </c>
      <c r="L1" s="4" t="s">
        <v>395</v>
      </c>
      <c r="M1" s="4" t="s">
        <v>24</v>
      </c>
      <c r="N1" s="4" t="s">
        <v>289</v>
      </c>
    </row>
    <row r="2" spans="1:18" ht="67.5" x14ac:dyDescent="0.6">
      <c r="A2" s="5" t="s">
        <v>52</v>
      </c>
      <c r="B2" s="5" t="s">
        <v>162</v>
      </c>
      <c r="C2" s="5" t="s">
        <v>35</v>
      </c>
      <c r="D2" s="5" t="s">
        <v>38</v>
      </c>
      <c r="E2" s="4" t="s">
        <v>40</v>
      </c>
      <c r="F2" s="114" t="s">
        <v>672</v>
      </c>
      <c r="G2" s="4" t="s">
        <v>266</v>
      </c>
      <c r="H2" s="4" t="s">
        <v>265</v>
      </c>
      <c r="I2" s="4" t="s">
        <v>264</v>
      </c>
      <c r="J2" s="4" t="s">
        <v>396</v>
      </c>
      <c r="K2" s="4" t="s">
        <v>401</v>
      </c>
      <c r="L2" s="4" t="s">
        <v>397</v>
      </c>
      <c r="M2" s="4" t="s">
        <v>4</v>
      </c>
      <c r="N2" s="4" t="s">
        <v>292</v>
      </c>
      <c r="P2" s="122" t="s">
        <v>377</v>
      </c>
      <c r="Q2" s="122"/>
      <c r="R2" s="122"/>
    </row>
    <row r="3" spans="1:18" ht="33.75" x14ac:dyDescent="0.6">
      <c r="A3" s="8">
        <v>1010</v>
      </c>
      <c r="B3" s="8" t="s">
        <v>455</v>
      </c>
      <c r="C3" s="8">
        <v>1</v>
      </c>
      <c r="D3" s="8" t="s">
        <v>13</v>
      </c>
      <c r="E3" s="9" t="s">
        <v>88</v>
      </c>
      <c r="F3" s="18">
        <v>0</v>
      </c>
      <c r="G3" s="18">
        <v>0</v>
      </c>
      <c r="H3" s="8">
        <v>0</v>
      </c>
      <c r="I3" s="8">
        <v>0</v>
      </c>
      <c r="M3" s="8">
        <v>1.2</v>
      </c>
      <c r="P3" s="8">
        <v>8</v>
      </c>
      <c r="Q3" s="8">
        <v>1</v>
      </c>
      <c r="R3" s="8">
        <v>2</v>
      </c>
    </row>
    <row r="4" spans="1:18" x14ac:dyDescent="0.6">
      <c r="A4" s="8">
        <v>1020</v>
      </c>
      <c r="B4" s="8" t="s">
        <v>455</v>
      </c>
      <c r="C4" s="8">
        <v>3</v>
      </c>
      <c r="D4" s="8" t="s">
        <v>338</v>
      </c>
      <c r="E4" s="9" t="s">
        <v>86</v>
      </c>
      <c r="F4" s="18">
        <v>0</v>
      </c>
      <c r="G4" s="18">
        <v>0</v>
      </c>
      <c r="H4" s="8">
        <v>0</v>
      </c>
      <c r="I4" s="8">
        <v>1</v>
      </c>
      <c r="J4" s="8" t="s">
        <v>400</v>
      </c>
      <c r="K4" s="8">
        <v>0</v>
      </c>
      <c r="M4" s="8">
        <v>1</v>
      </c>
      <c r="P4" s="8">
        <v>7</v>
      </c>
      <c r="Q4" s="8" t="s">
        <v>379</v>
      </c>
      <c r="R4" s="8">
        <v>3</v>
      </c>
    </row>
    <row r="5" spans="1:18" ht="33.75" x14ac:dyDescent="0.6">
      <c r="A5" s="8">
        <v>1030</v>
      </c>
      <c r="B5" s="8" t="s">
        <v>455</v>
      </c>
      <c r="C5" s="8">
        <v>5</v>
      </c>
      <c r="D5" s="8" t="s">
        <v>46</v>
      </c>
      <c r="E5" s="9" t="s">
        <v>85</v>
      </c>
      <c r="F5" s="18">
        <v>0</v>
      </c>
      <c r="G5" s="18">
        <v>0</v>
      </c>
      <c r="H5" s="8">
        <v>0</v>
      </c>
      <c r="I5" s="8">
        <v>0</v>
      </c>
      <c r="J5" s="8" t="s">
        <v>398</v>
      </c>
      <c r="K5" s="8">
        <v>0</v>
      </c>
      <c r="L5" s="8">
        <v>1</v>
      </c>
      <c r="M5" s="8">
        <v>0.6</v>
      </c>
      <c r="N5" s="8">
        <v>0.8</v>
      </c>
      <c r="P5" s="8">
        <v>6</v>
      </c>
      <c r="Q5" s="8">
        <v>5</v>
      </c>
      <c r="R5" s="8">
        <v>4</v>
      </c>
    </row>
    <row r="6" spans="1:18" ht="33.75" x14ac:dyDescent="0.6">
      <c r="A6" s="8">
        <v>1040</v>
      </c>
      <c r="B6" s="8" t="s">
        <v>455</v>
      </c>
      <c r="C6" s="8">
        <v>7</v>
      </c>
      <c r="D6" s="8" t="s">
        <v>47</v>
      </c>
      <c r="E6" s="9" t="s">
        <v>84</v>
      </c>
      <c r="F6" s="18">
        <v>0</v>
      </c>
      <c r="G6" s="18">
        <v>0</v>
      </c>
      <c r="H6" s="8">
        <v>0</v>
      </c>
      <c r="I6" s="8">
        <v>1</v>
      </c>
      <c r="J6" s="8" t="s">
        <v>400</v>
      </c>
      <c r="K6" s="8">
        <v>0</v>
      </c>
      <c r="M6" s="8">
        <v>1</v>
      </c>
    </row>
    <row r="7" spans="1:18" x14ac:dyDescent="0.6">
      <c r="A7" s="8">
        <v>1050</v>
      </c>
      <c r="B7" s="8" t="s">
        <v>455</v>
      </c>
      <c r="C7" s="8">
        <v>10</v>
      </c>
      <c r="D7" s="8" t="s">
        <v>48</v>
      </c>
      <c r="E7" s="9" t="s">
        <v>87</v>
      </c>
      <c r="F7" s="18">
        <v>0</v>
      </c>
      <c r="G7" s="18">
        <v>0</v>
      </c>
      <c r="H7" s="8">
        <v>0</v>
      </c>
      <c r="I7" s="8">
        <v>0</v>
      </c>
      <c r="M7" s="8">
        <v>1.2</v>
      </c>
    </row>
    <row r="8" spans="1:18" x14ac:dyDescent="0.6">
      <c r="A8" s="8">
        <v>1060</v>
      </c>
      <c r="B8" s="8" t="s">
        <v>455</v>
      </c>
      <c r="C8" s="8">
        <v>12</v>
      </c>
      <c r="D8" s="8" t="s">
        <v>49</v>
      </c>
      <c r="E8" s="9" t="s">
        <v>76</v>
      </c>
      <c r="F8" s="18">
        <v>0</v>
      </c>
      <c r="G8" s="18">
        <v>0</v>
      </c>
      <c r="H8" s="8">
        <v>0</v>
      </c>
      <c r="I8" s="8">
        <v>2</v>
      </c>
      <c r="M8" s="8">
        <v>0.6</v>
      </c>
    </row>
    <row r="9" spans="1:18" ht="33.75" x14ac:dyDescent="0.6">
      <c r="A9" s="8">
        <v>1070</v>
      </c>
      <c r="B9" s="8" t="s">
        <v>455</v>
      </c>
      <c r="C9" s="8">
        <v>15</v>
      </c>
      <c r="D9" s="8" t="s">
        <v>42</v>
      </c>
      <c r="E9" s="9" t="s">
        <v>58</v>
      </c>
      <c r="F9" s="18">
        <v>0</v>
      </c>
      <c r="G9" s="18">
        <v>0</v>
      </c>
      <c r="H9" s="8">
        <v>0</v>
      </c>
      <c r="I9" s="8">
        <v>0</v>
      </c>
      <c r="M9" s="8">
        <v>1</v>
      </c>
    </row>
    <row r="10" spans="1:18" x14ac:dyDescent="0.6">
      <c r="A10" s="10">
        <v>2010</v>
      </c>
      <c r="B10" s="10" t="s">
        <v>456</v>
      </c>
      <c r="C10" s="10">
        <v>1</v>
      </c>
      <c r="D10" s="10" t="s">
        <v>14</v>
      </c>
      <c r="E10" s="11" t="s">
        <v>60</v>
      </c>
      <c r="F10" s="45">
        <v>0</v>
      </c>
      <c r="G10" s="45">
        <v>0</v>
      </c>
      <c r="H10" s="10">
        <v>1</v>
      </c>
      <c r="I10" s="10">
        <v>0</v>
      </c>
      <c r="J10" s="10"/>
      <c r="K10" s="10"/>
      <c r="L10" s="10"/>
      <c r="M10" s="10">
        <v>1</v>
      </c>
      <c r="N10" s="10"/>
    </row>
    <row r="11" spans="1:18" x14ac:dyDescent="0.6">
      <c r="A11" s="10">
        <v>2020</v>
      </c>
      <c r="B11" s="10" t="s">
        <v>456</v>
      </c>
      <c r="C11" s="10">
        <v>3</v>
      </c>
      <c r="D11" s="10" t="s">
        <v>55</v>
      </c>
      <c r="E11" s="11" t="s">
        <v>62</v>
      </c>
      <c r="F11" s="45">
        <v>0</v>
      </c>
      <c r="G11" s="45">
        <v>0</v>
      </c>
      <c r="H11" s="10">
        <v>1</v>
      </c>
      <c r="I11" s="10">
        <v>0</v>
      </c>
      <c r="J11" s="10"/>
      <c r="K11" s="10"/>
      <c r="L11" s="10"/>
      <c r="M11" s="10">
        <v>1.2</v>
      </c>
      <c r="N11" s="10"/>
    </row>
    <row r="12" spans="1:18" ht="33.75" x14ac:dyDescent="0.6">
      <c r="A12" s="10">
        <v>2030</v>
      </c>
      <c r="B12" s="10" t="s">
        <v>456</v>
      </c>
      <c r="C12" s="10">
        <v>5</v>
      </c>
      <c r="D12" s="10" t="s">
        <v>61</v>
      </c>
      <c r="E12" s="11" t="s">
        <v>64</v>
      </c>
      <c r="F12" s="45">
        <v>0</v>
      </c>
      <c r="G12" s="45">
        <v>0</v>
      </c>
      <c r="H12" s="10">
        <v>1</v>
      </c>
      <c r="I12" s="10">
        <v>0</v>
      </c>
      <c r="J12" s="10"/>
      <c r="K12" s="10"/>
      <c r="L12" s="10"/>
      <c r="M12" s="10">
        <v>1</v>
      </c>
      <c r="N12" s="10"/>
    </row>
    <row r="13" spans="1:18" x14ac:dyDescent="0.6">
      <c r="A13" s="10">
        <v>2040</v>
      </c>
      <c r="B13" s="10" t="s">
        <v>456</v>
      </c>
      <c r="C13" s="10">
        <v>7</v>
      </c>
      <c r="D13" s="10" t="s">
        <v>15</v>
      </c>
      <c r="E13" s="11" t="s">
        <v>59</v>
      </c>
      <c r="F13" s="45">
        <v>0</v>
      </c>
      <c r="G13" s="45">
        <v>0</v>
      </c>
      <c r="H13" s="10">
        <v>1</v>
      </c>
      <c r="I13" s="10">
        <v>0</v>
      </c>
      <c r="J13" s="10" t="s">
        <v>399</v>
      </c>
      <c r="K13" s="10">
        <v>0</v>
      </c>
      <c r="L13" s="10"/>
      <c r="M13" s="10">
        <v>0.7</v>
      </c>
      <c r="N13" s="10">
        <v>0.7</v>
      </c>
    </row>
    <row r="14" spans="1:18" ht="33.75" x14ac:dyDescent="0.6">
      <c r="A14" s="10">
        <v>2050</v>
      </c>
      <c r="B14" s="10" t="s">
        <v>456</v>
      </c>
      <c r="C14" s="10">
        <v>10</v>
      </c>
      <c r="D14" s="10" t="s">
        <v>56</v>
      </c>
      <c r="E14" s="11" t="s">
        <v>65</v>
      </c>
      <c r="F14" s="45">
        <v>0</v>
      </c>
      <c r="G14" s="45">
        <v>0</v>
      </c>
      <c r="H14" s="10">
        <v>1</v>
      </c>
      <c r="I14" s="10">
        <v>0</v>
      </c>
      <c r="J14" s="10"/>
      <c r="K14" s="10"/>
      <c r="L14" s="10"/>
      <c r="M14" s="10">
        <v>1</v>
      </c>
      <c r="N14" s="10"/>
    </row>
    <row r="15" spans="1:18" x14ac:dyDescent="0.6">
      <c r="A15" s="10">
        <v>2060</v>
      </c>
      <c r="B15" s="10" t="s">
        <v>456</v>
      </c>
      <c r="C15" s="10">
        <v>12</v>
      </c>
      <c r="D15" s="10" t="s">
        <v>57</v>
      </c>
      <c r="E15" s="11" t="s">
        <v>50</v>
      </c>
      <c r="F15" s="45">
        <v>0</v>
      </c>
      <c r="G15" s="45">
        <v>0</v>
      </c>
      <c r="H15" s="10">
        <v>1</v>
      </c>
      <c r="I15" s="10">
        <v>2</v>
      </c>
      <c r="J15" s="10"/>
      <c r="K15" s="10"/>
      <c r="L15" s="10"/>
      <c r="M15" s="10">
        <v>0.5</v>
      </c>
      <c r="N15" s="10"/>
    </row>
    <row r="16" spans="1:18" ht="33.75" x14ac:dyDescent="0.6">
      <c r="A16" s="10">
        <v>2070</v>
      </c>
      <c r="B16" s="10" t="s">
        <v>456</v>
      </c>
      <c r="C16" s="10">
        <v>15</v>
      </c>
      <c r="D16" s="10" t="s">
        <v>63</v>
      </c>
      <c r="E16" s="11" t="s">
        <v>66</v>
      </c>
      <c r="F16" s="45">
        <v>0</v>
      </c>
      <c r="G16" s="45">
        <v>0</v>
      </c>
      <c r="H16" s="10">
        <v>1</v>
      </c>
      <c r="I16" s="10">
        <v>0</v>
      </c>
      <c r="J16" s="10"/>
      <c r="K16" s="10"/>
      <c r="L16" s="10"/>
      <c r="M16" s="10">
        <v>1</v>
      </c>
      <c r="N16" s="10"/>
    </row>
    <row r="17" spans="1:14" x14ac:dyDescent="0.6">
      <c r="A17" s="8">
        <v>3010</v>
      </c>
      <c r="B17" s="8" t="s">
        <v>457</v>
      </c>
      <c r="C17" s="8">
        <v>1</v>
      </c>
      <c r="D17" s="8" t="s">
        <v>67</v>
      </c>
      <c r="E17" s="9" t="s">
        <v>60</v>
      </c>
      <c r="F17" s="18">
        <v>0</v>
      </c>
      <c r="G17" s="18">
        <v>0</v>
      </c>
      <c r="H17" s="8">
        <v>1</v>
      </c>
      <c r="I17" s="8">
        <v>0</v>
      </c>
      <c r="M17" s="8">
        <v>1</v>
      </c>
    </row>
    <row r="18" spans="1:14" x14ac:dyDescent="0.6">
      <c r="A18" s="8">
        <v>3020</v>
      </c>
      <c r="B18" s="8" t="s">
        <v>457</v>
      </c>
      <c r="C18" s="8">
        <v>3</v>
      </c>
      <c r="D18" s="8" t="s">
        <v>68</v>
      </c>
      <c r="E18" s="9" t="s">
        <v>72</v>
      </c>
      <c r="F18" s="18">
        <v>0</v>
      </c>
      <c r="G18" s="18">
        <v>0</v>
      </c>
      <c r="H18" s="8">
        <v>1</v>
      </c>
      <c r="I18" s="8">
        <v>1</v>
      </c>
      <c r="J18" s="8" t="s">
        <v>400</v>
      </c>
      <c r="K18" s="8">
        <v>0</v>
      </c>
      <c r="M18" s="8">
        <v>0.8</v>
      </c>
    </row>
    <row r="19" spans="1:14" x14ac:dyDescent="0.6">
      <c r="A19" s="8">
        <v>3030</v>
      </c>
      <c r="B19" s="8" t="s">
        <v>457</v>
      </c>
      <c r="C19" s="8">
        <v>5</v>
      </c>
      <c r="D19" s="8" t="s">
        <v>70</v>
      </c>
      <c r="E19" s="9" t="s">
        <v>74</v>
      </c>
      <c r="F19" s="18">
        <v>0</v>
      </c>
      <c r="G19" s="18">
        <v>0</v>
      </c>
      <c r="H19" s="8">
        <v>1</v>
      </c>
      <c r="I19" s="8">
        <v>0</v>
      </c>
      <c r="M19" s="8">
        <v>1.8</v>
      </c>
    </row>
    <row r="20" spans="1:14" ht="33.75" x14ac:dyDescent="0.6">
      <c r="A20" s="8">
        <v>3040</v>
      </c>
      <c r="B20" s="8" t="s">
        <v>457</v>
      </c>
      <c r="C20" s="8">
        <v>7</v>
      </c>
      <c r="D20" s="8" t="s">
        <v>69</v>
      </c>
      <c r="E20" s="9" t="s">
        <v>75</v>
      </c>
      <c r="F20" s="18">
        <v>0</v>
      </c>
      <c r="G20" s="18">
        <v>0</v>
      </c>
      <c r="H20" s="8">
        <v>1</v>
      </c>
      <c r="I20" s="8">
        <v>0</v>
      </c>
      <c r="J20" s="8" t="s">
        <v>392</v>
      </c>
      <c r="K20" s="8">
        <v>1</v>
      </c>
      <c r="L20" s="8">
        <v>1</v>
      </c>
      <c r="M20" s="8">
        <v>0.7</v>
      </c>
      <c r="N20" s="8">
        <v>0.5</v>
      </c>
    </row>
    <row r="21" spans="1:14" x14ac:dyDescent="0.6">
      <c r="A21" s="8">
        <v>3050</v>
      </c>
      <c r="B21" s="8" t="s">
        <v>457</v>
      </c>
      <c r="C21" s="8">
        <v>10</v>
      </c>
      <c r="D21" s="8" t="s">
        <v>43</v>
      </c>
      <c r="E21" s="9" t="s">
        <v>76</v>
      </c>
      <c r="F21" s="18">
        <v>0</v>
      </c>
      <c r="G21" s="18">
        <v>0</v>
      </c>
      <c r="H21" s="8">
        <v>1</v>
      </c>
      <c r="I21" s="8">
        <v>2</v>
      </c>
      <c r="M21" s="8">
        <v>0.6</v>
      </c>
    </row>
    <row r="22" spans="1:14" ht="33.75" x14ac:dyDescent="0.6">
      <c r="A22" s="8">
        <v>3060</v>
      </c>
      <c r="B22" s="8" t="s">
        <v>457</v>
      </c>
      <c r="C22" s="8">
        <v>12</v>
      </c>
      <c r="D22" s="8" t="s">
        <v>17</v>
      </c>
      <c r="E22" s="9" t="s">
        <v>73</v>
      </c>
      <c r="F22" s="18">
        <v>0</v>
      </c>
      <c r="G22" s="18">
        <v>0</v>
      </c>
      <c r="H22" s="8">
        <v>1</v>
      </c>
      <c r="I22" s="8">
        <v>0</v>
      </c>
      <c r="M22" s="8">
        <v>1.5</v>
      </c>
    </row>
    <row r="23" spans="1:14" ht="33.75" x14ac:dyDescent="0.6">
      <c r="A23" s="8">
        <v>3070</v>
      </c>
      <c r="B23" s="8" t="s">
        <v>457</v>
      </c>
      <c r="C23" s="8">
        <v>15</v>
      </c>
      <c r="D23" s="8" t="s">
        <v>44</v>
      </c>
      <c r="E23" s="9" t="s">
        <v>71</v>
      </c>
      <c r="F23" s="18">
        <v>0</v>
      </c>
      <c r="G23" s="18">
        <v>0</v>
      </c>
      <c r="H23" s="8">
        <v>1</v>
      </c>
      <c r="I23" s="8">
        <v>2</v>
      </c>
      <c r="M23" s="8">
        <v>1</v>
      </c>
    </row>
    <row r="24" spans="1:14" x14ac:dyDescent="0.6">
      <c r="A24" s="10">
        <v>4010</v>
      </c>
      <c r="B24" s="10" t="s">
        <v>458</v>
      </c>
      <c r="C24" s="10">
        <v>1</v>
      </c>
      <c r="D24" s="10" t="s">
        <v>18</v>
      </c>
      <c r="E24" s="11" t="s">
        <v>686</v>
      </c>
      <c r="F24" s="45">
        <v>0</v>
      </c>
      <c r="G24" s="45">
        <v>1</v>
      </c>
      <c r="H24" s="10"/>
      <c r="I24" s="10">
        <v>0</v>
      </c>
      <c r="J24" s="10"/>
      <c r="K24" s="10"/>
      <c r="L24" s="10"/>
      <c r="M24" s="10"/>
      <c r="N24" s="10"/>
    </row>
    <row r="25" spans="1:14" x14ac:dyDescent="0.6">
      <c r="A25" s="10">
        <v>4020</v>
      </c>
      <c r="B25" s="10" t="s">
        <v>458</v>
      </c>
      <c r="C25" s="10">
        <v>3</v>
      </c>
      <c r="D25" s="10" t="s">
        <v>77</v>
      </c>
      <c r="E25" s="11" t="s">
        <v>689</v>
      </c>
      <c r="F25" s="45">
        <v>0</v>
      </c>
      <c r="G25" s="45">
        <v>0</v>
      </c>
      <c r="H25" s="10">
        <v>1</v>
      </c>
      <c r="I25" s="10">
        <v>0</v>
      </c>
      <c r="J25" s="10"/>
      <c r="K25" s="10"/>
      <c r="L25" s="10"/>
      <c r="M25" s="10">
        <v>0.8</v>
      </c>
      <c r="N25" s="10"/>
    </row>
    <row r="26" spans="1:14" ht="33.75" x14ac:dyDescent="0.6">
      <c r="A26" s="10">
        <v>4030</v>
      </c>
      <c r="B26" s="10" t="s">
        <v>458</v>
      </c>
      <c r="C26" s="10">
        <v>5</v>
      </c>
      <c r="D26" s="10" t="s">
        <v>79</v>
      </c>
      <c r="E26" s="11" t="s">
        <v>687</v>
      </c>
      <c r="F26" s="45">
        <v>0</v>
      </c>
      <c r="G26" s="45">
        <v>1</v>
      </c>
      <c r="H26" s="10"/>
      <c r="I26" s="10">
        <v>0</v>
      </c>
      <c r="J26" s="10"/>
      <c r="K26" s="10"/>
      <c r="L26" s="10"/>
      <c r="M26" s="10"/>
      <c r="N26" s="10"/>
    </row>
    <row r="27" spans="1:14" x14ac:dyDescent="0.6">
      <c r="A27" s="10">
        <v>4040</v>
      </c>
      <c r="B27" s="10" t="s">
        <v>458</v>
      </c>
      <c r="C27" s="10">
        <v>7</v>
      </c>
      <c r="D27" s="10" t="s">
        <v>78</v>
      </c>
      <c r="E27" s="11" t="s">
        <v>82</v>
      </c>
      <c r="F27" s="45">
        <v>0</v>
      </c>
      <c r="G27" s="45">
        <v>0</v>
      </c>
      <c r="H27" s="10">
        <v>1</v>
      </c>
      <c r="I27" s="10">
        <v>0</v>
      </c>
      <c r="J27" s="10"/>
      <c r="K27" s="10"/>
      <c r="L27" s="10"/>
      <c r="M27" s="10">
        <v>1</v>
      </c>
      <c r="N27" s="10"/>
    </row>
    <row r="28" spans="1:14" x14ac:dyDescent="0.6">
      <c r="A28" s="10">
        <v>4050</v>
      </c>
      <c r="B28" s="10" t="s">
        <v>458</v>
      </c>
      <c r="C28" s="10">
        <v>10</v>
      </c>
      <c r="D28" s="10" t="s">
        <v>45</v>
      </c>
      <c r="E28" s="11" t="s">
        <v>688</v>
      </c>
      <c r="F28" s="45">
        <v>0</v>
      </c>
      <c r="G28" s="45">
        <v>1</v>
      </c>
      <c r="H28" s="10"/>
      <c r="I28" s="10">
        <v>0</v>
      </c>
      <c r="J28" s="10"/>
      <c r="K28" s="10"/>
      <c r="L28" s="10"/>
      <c r="M28" s="10"/>
      <c r="N28" s="10"/>
    </row>
    <row r="29" spans="1:14" x14ac:dyDescent="0.6">
      <c r="A29" s="10">
        <v>4060</v>
      </c>
      <c r="B29" s="10" t="s">
        <v>458</v>
      </c>
      <c r="C29" s="10">
        <v>12</v>
      </c>
      <c r="D29" s="10" t="s">
        <v>80</v>
      </c>
      <c r="E29" s="11" t="s">
        <v>50</v>
      </c>
      <c r="F29" s="45">
        <v>0</v>
      </c>
      <c r="G29" s="45">
        <v>0</v>
      </c>
      <c r="H29" s="10">
        <v>1</v>
      </c>
      <c r="I29" s="10">
        <v>2</v>
      </c>
      <c r="J29" s="10"/>
      <c r="K29" s="10"/>
      <c r="L29" s="10"/>
      <c r="M29" s="10">
        <v>0.5</v>
      </c>
      <c r="N29" s="10"/>
    </row>
    <row r="30" spans="1:14" x14ac:dyDescent="0.6">
      <c r="A30" s="10">
        <v>4070</v>
      </c>
      <c r="B30" s="10" t="s">
        <v>458</v>
      </c>
      <c r="C30" s="10">
        <v>15</v>
      </c>
      <c r="D30" s="10" t="s">
        <v>81</v>
      </c>
      <c r="E30" s="11" t="s">
        <v>83</v>
      </c>
      <c r="F30" s="45">
        <v>0</v>
      </c>
      <c r="G30" s="45">
        <v>1</v>
      </c>
      <c r="H30" s="10"/>
      <c r="I30" s="10">
        <v>0</v>
      </c>
      <c r="J30" s="10"/>
      <c r="K30" s="10"/>
      <c r="L30" s="10"/>
      <c r="M30" s="10"/>
      <c r="N30" s="10"/>
    </row>
    <row r="31" spans="1:14" ht="33.75" x14ac:dyDescent="0.6">
      <c r="A31" s="8">
        <v>5010</v>
      </c>
      <c r="B31" s="8" t="s">
        <v>459</v>
      </c>
      <c r="C31" s="8">
        <v>1</v>
      </c>
      <c r="D31" s="8" t="s">
        <v>477</v>
      </c>
      <c r="E31" s="76" t="s">
        <v>487</v>
      </c>
      <c r="F31" s="18">
        <v>0</v>
      </c>
      <c r="G31" s="18">
        <v>0</v>
      </c>
      <c r="H31" s="8">
        <v>0</v>
      </c>
      <c r="I31" s="8">
        <v>0</v>
      </c>
      <c r="J31" s="8" t="s">
        <v>485</v>
      </c>
      <c r="K31" s="8">
        <v>0</v>
      </c>
      <c r="M31" s="8">
        <v>1.2</v>
      </c>
      <c r="N31" s="8">
        <v>0.3</v>
      </c>
    </row>
    <row r="32" spans="1:14" x14ac:dyDescent="0.6">
      <c r="A32" s="8">
        <v>5020</v>
      </c>
      <c r="B32" s="8" t="s">
        <v>459</v>
      </c>
      <c r="C32" s="8">
        <v>3</v>
      </c>
      <c r="D32" s="8" t="s">
        <v>476</v>
      </c>
      <c r="E32" s="76" t="s">
        <v>490</v>
      </c>
      <c r="F32" s="18">
        <v>0</v>
      </c>
      <c r="G32" s="18">
        <v>0</v>
      </c>
      <c r="H32" s="8">
        <v>2</v>
      </c>
      <c r="I32" s="8">
        <v>0</v>
      </c>
      <c r="M32" s="8">
        <v>1.5</v>
      </c>
    </row>
    <row r="33" spans="1:14" ht="33.75" x14ac:dyDescent="0.6">
      <c r="A33" s="8">
        <v>5030</v>
      </c>
      <c r="B33" s="8" t="s">
        <v>459</v>
      </c>
      <c r="C33" s="8">
        <v>5</v>
      </c>
      <c r="D33" s="8" t="s">
        <v>479</v>
      </c>
      <c r="E33" s="76" t="s">
        <v>489</v>
      </c>
      <c r="F33" s="18">
        <v>0</v>
      </c>
      <c r="G33" s="18">
        <v>0</v>
      </c>
      <c r="H33" s="8">
        <v>0</v>
      </c>
      <c r="I33" s="8">
        <v>1</v>
      </c>
      <c r="J33" s="8" t="s">
        <v>400</v>
      </c>
      <c r="K33" s="8">
        <v>0</v>
      </c>
      <c r="M33" s="8">
        <v>1</v>
      </c>
    </row>
    <row r="34" spans="1:14" ht="33.75" x14ac:dyDescent="0.6">
      <c r="A34" s="8">
        <v>5040</v>
      </c>
      <c r="B34" s="8" t="s">
        <v>459</v>
      </c>
      <c r="C34" s="8">
        <v>7</v>
      </c>
      <c r="D34" s="8" t="s">
        <v>480</v>
      </c>
      <c r="E34" s="76" t="s">
        <v>488</v>
      </c>
      <c r="F34" s="18">
        <v>0</v>
      </c>
      <c r="G34" s="18">
        <v>0</v>
      </c>
      <c r="H34" s="8">
        <v>0</v>
      </c>
      <c r="I34" s="8">
        <v>0</v>
      </c>
      <c r="M34" s="8">
        <v>0.9</v>
      </c>
      <c r="N34" s="8">
        <v>0.9</v>
      </c>
    </row>
    <row r="35" spans="1:14" ht="33.75" x14ac:dyDescent="0.6">
      <c r="A35" s="8">
        <v>5050</v>
      </c>
      <c r="B35" s="8" t="s">
        <v>459</v>
      </c>
      <c r="C35" s="8">
        <v>10</v>
      </c>
      <c r="D35" s="8" t="s">
        <v>478</v>
      </c>
      <c r="E35" s="76" t="s">
        <v>492</v>
      </c>
      <c r="F35" s="18">
        <v>0</v>
      </c>
      <c r="G35" s="18">
        <v>0</v>
      </c>
      <c r="H35" s="8">
        <v>0</v>
      </c>
      <c r="I35" s="8">
        <v>0</v>
      </c>
      <c r="M35" s="8">
        <v>1.2</v>
      </c>
    </row>
    <row r="36" spans="1:14" ht="33.75" x14ac:dyDescent="0.6">
      <c r="A36" s="8">
        <v>5060</v>
      </c>
      <c r="B36" s="8" t="s">
        <v>459</v>
      </c>
      <c r="C36" s="8">
        <v>12</v>
      </c>
      <c r="D36" s="8" t="s">
        <v>482</v>
      </c>
      <c r="E36" s="76" t="s">
        <v>491</v>
      </c>
      <c r="F36" s="18">
        <v>0</v>
      </c>
      <c r="G36" s="18">
        <v>0</v>
      </c>
      <c r="H36" s="8">
        <v>0</v>
      </c>
      <c r="I36" s="8">
        <v>0</v>
      </c>
      <c r="M36" s="8">
        <v>1.5</v>
      </c>
    </row>
    <row r="37" spans="1:14" ht="33.75" x14ac:dyDescent="0.6">
      <c r="A37" s="8">
        <v>5070</v>
      </c>
      <c r="B37" s="8" t="s">
        <v>459</v>
      </c>
      <c r="C37" s="8">
        <v>15</v>
      </c>
      <c r="D37" s="8" t="s">
        <v>481</v>
      </c>
      <c r="E37" s="76" t="s">
        <v>486</v>
      </c>
      <c r="F37" s="18">
        <v>0</v>
      </c>
      <c r="G37" s="18">
        <v>0</v>
      </c>
      <c r="H37" s="8">
        <v>0</v>
      </c>
      <c r="I37" s="8">
        <v>0</v>
      </c>
      <c r="M37" s="8">
        <v>1.2</v>
      </c>
    </row>
  </sheetData>
  <mergeCells count="1">
    <mergeCell ref="P2:R2"/>
  </mergeCells>
  <phoneticPr fontId="4"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3FEB1-D337-4EB8-BD9B-6CA8F5E6412F}">
  <dimension ref="A2:H3"/>
  <sheetViews>
    <sheetView workbookViewId="0"/>
  </sheetViews>
  <sheetFormatPr defaultColWidth="8.5625" defaultRowHeight="16.899999999999999" x14ac:dyDescent="0.6"/>
  <cols>
    <col min="1" max="16384" width="8.5625" style="1"/>
  </cols>
  <sheetData>
    <row r="2" spans="1:8" ht="34.9" x14ac:dyDescent="0.6">
      <c r="A2" s="14" t="s">
        <v>295</v>
      </c>
    </row>
    <row r="3" spans="1:8" ht="321" customHeight="1" x14ac:dyDescent="0.6">
      <c r="B3" s="118" t="s">
        <v>332</v>
      </c>
      <c r="C3" s="118"/>
      <c r="D3" s="118"/>
      <c r="E3" s="118"/>
      <c r="F3" s="118"/>
      <c r="G3" s="118"/>
      <c r="H3" s="118"/>
    </row>
  </sheetData>
  <mergeCells count="1">
    <mergeCell ref="B3:H3"/>
  </mergeCells>
  <phoneticPr fontId="4"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C3889-A9A5-4973-A040-073F596EADE3}">
  <dimension ref="A1:AA17"/>
  <sheetViews>
    <sheetView zoomScale="70" zoomScaleNormal="70" workbookViewId="0">
      <pane xSplit="2" topLeftCell="C1" activePane="topRight" state="frozen"/>
      <selection pane="topRight"/>
    </sheetView>
  </sheetViews>
  <sheetFormatPr defaultColWidth="8.5625" defaultRowHeight="16.899999999999999" x14ac:dyDescent="0.6"/>
  <cols>
    <col min="1" max="3" width="20.5625" style="8" customWidth="1"/>
    <col min="4" max="4" width="30.5625" style="8" customWidth="1"/>
    <col min="5" max="10" width="20.5625" style="8" customWidth="1"/>
    <col min="11" max="11" width="20.5625" style="39" customWidth="1"/>
    <col min="12" max="12" width="20.5625" style="35" customWidth="1"/>
    <col min="13" max="13" width="20.5625" style="8" customWidth="1"/>
    <col min="14" max="14" width="50.5625" style="18" customWidth="1"/>
    <col min="15" max="15" width="20.5625" style="18" customWidth="1"/>
    <col min="16" max="23" width="20.5625" style="8" customWidth="1"/>
    <col min="24" max="16384" width="8.5625" style="1"/>
  </cols>
  <sheetData>
    <row r="1" spans="1:27" ht="33.75" x14ac:dyDescent="0.6">
      <c r="A1" s="5" t="s">
        <v>139</v>
      </c>
      <c r="B1" s="5" t="s">
        <v>1</v>
      </c>
      <c r="C1" s="5" t="s">
        <v>114</v>
      </c>
      <c r="D1" s="5" t="s">
        <v>167</v>
      </c>
      <c r="E1" s="4" t="s">
        <v>175</v>
      </c>
      <c r="F1" s="4" t="s">
        <v>173</v>
      </c>
      <c r="G1" s="4" t="s">
        <v>174</v>
      </c>
      <c r="H1" s="4" t="s">
        <v>171</v>
      </c>
      <c r="I1" s="4" t="s">
        <v>172</v>
      </c>
      <c r="J1" s="4" t="s">
        <v>287</v>
      </c>
      <c r="K1" s="37" t="s">
        <v>170</v>
      </c>
      <c r="L1" s="34" t="s">
        <v>54</v>
      </c>
      <c r="M1" s="5" t="s">
        <v>118</v>
      </c>
      <c r="N1" s="4" t="s">
        <v>257</v>
      </c>
      <c r="O1" s="114" t="s">
        <v>663</v>
      </c>
      <c r="P1" s="4" t="s">
        <v>258</v>
      </c>
      <c r="Q1" s="4" t="s">
        <v>259</v>
      </c>
      <c r="R1" s="4" t="s">
        <v>260</v>
      </c>
      <c r="S1" s="4" t="s">
        <v>402</v>
      </c>
      <c r="T1" s="4" t="s">
        <v>403</v>
      </c>
      <c r="U1" s="4" t="s">
        <v>404</v>
      </c>
      <c r="V1" s="4" t="s">
        <v>25</v>
      </c>
      <c r="W1" s="4" t="s">
        <v>385</v>
      </c>
    </row>
    <row r="2" spans="1:27" ht="67.5" x14ac:dyDescent="0.6">
      <c r="A2" s="5" t="s">
        <v>119</v>
      </c>
      <c r="B2" s="5" t="s">
        <v>36</v>
      </c>
      <c r="C2" s="5" t="s">
        <v>113</v>
      </c>
      <c r="D2" s="5" t="s">
        <v>165</v>
      </c>
      <c r="E2" s="5" t="s">
        <v>176</v>
      </c>
      <c r="F2" s="5" t="s">
        <v>177</v>
      </c>
      <c r="G2" s="5" t="s">
        <v>178</v>
      </c>
      <c r="H2" s="5" t="s">
        <v>180</v>
      </c>
      <c r="I2" s="5" t="s">
        <v>181</v>
      </c>
      <c r="J2" s="5" t="s">
        <v>182</v>
      </c>
      <c r="K2" s="38" t="s">
        <v>183</v>
      </c>
      <c r="L2" s="34" t="s">
        <v>53</v>
      </c>
      <c r="M2" s="5" t="s">
        <v>115</v>
      </c>
      <c r="N2" s="4" t="s">
        <v>117</v>
      </c>
      <c r="O2" s="114" t="s">
        <v>672</v>
      </c>
      <c r="P2" s="4" t="s">
        <v>261</v>
      </c>
      <c r="Q2" s="4" t="s">
        <v>262</v>
      </c>
      <c r="R2" s="4" t="s">
        <v>263</v>
      </c>
      <c r="S2" s="4" t="s">
        <v>405</v>
      </c>
      <c r="T2" s="4" t="s">
        <v>406</v>
      </c>
      <c r="U2" s="4" t="s">
        <v>407</v>
      </c>
      <c r="V2" s="4" t="s">
        <v>116</v>
      </c>
      <c r="W2" s="4" t="s">
        <v>386</v>
      </c>
      <c r="Y2" s="122" t="s">
        <v>377</v>
      </c>
      <c r="Z2" s="122"/>
      <c r="AA2" s="122"/>
    </row>
    <row r="3" spans="1:27" x14ac:dyDescent="0.6">
      <c r="A3" s="8">
        <v>310101</v>
      </c>
      <c r="B3" s="8" t="s">
        <v>467</v>
      </c>
      <c r="C3" s="8" t="s">
        <v>460</v>
      </c>
      <c r="D3" s="21" t="s">
        <v>315</v>
      </c>
      <c r="F3" s="8">
        <v>1</v>
      </c>
      <c r="L3" s="35">
        <v>311010</v>
      </c>
      <c r="M3" s="8" t="s">
        <v>320</v>
      </c>
      <c r="N3" s="9" t="s">
        <v>321</v>
      </c>
      <c r="O3" s="18">
        <v>10</v>
      </c>
      <c r="P3" s="8">
        <v>0</v>
      </c>
      <c r="Q3" s="8">
        <v>0</v>
      </c>
      <c r="R3" s="8">
        <v>0</v>
      </c>
      <c r="V3" s="8">
        <v>1.5</v>
      </c>
      <c r="Y3" s="8">
        <v>8</v>
      </c>
      <c r="Z3" s="8">
        <v>1</v>
      </c>
      <c r="AA3" s="8">
        <v>2</v>
      </c>
    </row>
    <row r="4" spans="1:27" x14ac:dyDescent="0.6">
      <c r="A4" s="8">
        <v>310102</v>
      </c>
      <c r="B4" s="8" t="s">
        <v>467</v>
      </c>
      <c r="C4" s="8" t="s">
        <v>461</v>
      </c>
      <c r="D4" s="21" t="s">
        <v>318</v>
      </c>
      <c r="F4" s="8">
        <v>2</v>
      </c>
      <c r="H4" s="49">
        <v>0.15</v>
      </c>
      <c r="I4" s="31"/>
      <c r="L4" s="35">
        <v>311020</v>
      </c>
      <c r="M4" s="8" t="s">
        <v>475</v>
      </c>
      <c r="N4" s="9" t="s">
        <v>673</v>
      </c>
      <c r="O4" s="18">
        <v>30</v>
      </c>
      <c r="P4" s="8">
        <v>0</v>
      </c>
      <c r="Q4" s="8">
        <v>0</v>
      </c>
      <c r="R4" s="8">
        <v>0</v>
      </c>
      <c r="V4" s="8">
        <v>1.8</v>
      </c>
      <c r="Y4" s="8">
        <v>7</v>
      </c>
      <c r="Z4" s="8" t="s">
        <v>379</v>
      </c>
      <c r="AA4" s="8">
        <v>3</v>
      </c>
    </row>
    <row r="5" spans="1:27" x14ac:dyDescent="0.6">
      <c r="A5" s="8">
        <v>310103</v>
      </c>
      <c r="B5" s="8" t="s">
        <v>467</v>
      </c>
      <c r="C5" s="8" t="s">
        <v>462</v>
      </c>
      <c r="D5" s="21" t="s">
        <v>316</v>
      </c>
      <c r="F5" s="8">
        <v>3</v>
      </c>
      <c r="I5" s="31">
        <v>0.1</v>
      </c>
      <c r="L5" s="35">
        <v>311030</v>
      </c>
      <c r="M5" s="8" t="s">
        <v>325</v>
      </c>
      <c r="N5" s="9" t="s">
        <v>674</v>
      </c>
      <c r="O5" s="18">
        <v>50</v>
      </c>
      <c r="P5" s="8">
        <v>0</v>
      </c>
      <c r="Q5" s="8">
        <v>0</v>
      </c>
      <c r="R5" s="8">
        <v>0</v>
      </c>
      <c r="V5" s="8">
        <v>2.5</v>
      </c>
      <c r="Y5" s="8">
        <v>6</v>
      </c>
      <c r="Z5" s="8">
        <v>5</v>
      </c>
      <c r="AA5" s="8">
        <v>4</v>
      </c>
    </row>
    <row r="6" spans="1:27" x14ac:dyDescent="0.6">
      <c r="A6" s="10">
        <v>310201</v>
      </c>
      <c r="B6" s="10" t="s">
        <v>468</v>
      </c>
      <c r="C6" s="10" t="s">
        <v>298</v>
      </c>
      <c r="D6" s="47" t="s">
        <v>315</v>
      </c>
      <c r="E6" s="10"/>
      <c r="F6" s="10">
        <v>1</v>
      </c>
      <c r="G6" s="10"/>
      <c r="H6" s="10"/>
      <c r="I6" s="10"/>
      <c r="J6" s="10"/>
      <c r="K6" s="40"/>
      <c r="L6" s="36">
        <v>312010</v>
      </c>
      <c r="M6" s="10" t="s">
        <v>329</v>
      </c>
      <c r="N6" s="11" t="s">
        <v>677</v>
      </c>
      <c r="O6" s="45">
        <v>10</v>
      </c>
      <c r="P6" s="45">
        <v>0</v>
      </c>
      <c r="Q6" s="45">
        <v>1</v>
      </c>
      <c r="R6" s="45">
        <v>0</v>
      </c>
      <c r="S6" s="45"/>
      <c r="T6" s="45"/>
      <c r="U6" s="45"/>
      <c r="V6" s="45">
        <v>1.5</v>
      </c>
      <c r="W6" s="45"/>
    </row>
    <row r="7" spans="1:27" ht="33.75" x14ac:dyDescent="0.6">
      <c r="A7" s="10">
        <v>310202</v>
      </c>
      <c r="B7" s="10" t="s">
        <v>468</v>
      </c>
      <c r="C7" s="10" t="s">
        <v>300</v>
      </c>
      <c r="D7" s="47" t="s">
        <v>317</v>
      </c>
      <c r="E7" s="10"/>
      <c r="F7" s="10">
        <v>2</v>
      </c>
      <c r="G7" s="10"/>
      <c r="H7" s="46"/>
      <c r="I7" s="49">
        <v>0.15</v>
      </c>
      <c r="J7" s="10"/>
      <c r="K7" s="40"/>
      <c r="L7" s="36">
        <v>312020</v>
      </c>
      <c r="M7" s="10" t="s">
        <v>322</v>
      </c>
      <c r="N7" s="11" t="s">
        <v>679</v>
      </c>
      <c r="O7" s="45">
        <v>30</v>
      </c>
      <c r="P7" s="45">
        <v>0</v>
      </c>
      <c r="Q7" s="45">
        <v>0</v>
      </c>
      <c r="R7" s="45">
        <v>1</v>
      </c>
      <c r="S7" s="45" t="s">
        <v>400</v>
      </c>
      <c r="T7" s="45">
        <v>0</v>
      </c>
      <c r="U7" s="45"/>
      <c r="V7" s="45">
        <v>1.2</v>
      </c>
      <c r="W7" s="45"/>
    </row>
    <row r="8" spans="1:27" ht="33.75" x14ac:dyDescent="0.6">
      <c r="A8" s="10">
        <v>310203</v>
      </c>
      <c r="B8" s="10" t="s">
        <v>468</v>
      </c>
      <c r="C8" s="10" t="s">
        <v>302</v>
      </c>
      <c r="D8" s="47" t="s">
        <v>316</v>
      </c>
      <c r="E8" s="10"/>
      <c r="F8" s="10">
        <v>3</v>
      </c>
      <c r="G8" s="10"/>
      <c r="H8" s="46">
        <v>0.1</v>
      </c>
      <c r="I8" s="10"/>
      <c r="J8" s="10"/>
      <c r="K8" s="40"/>
      <c r="L8" s="36">
        <v>312030</v>
      </c>
      <c r="M8" s="10" t="s">
        <v>330</v>
      </c>
      <c r="N8" s="11" t="s">
        <v>678</v>
      </c>
      <c r="O8" s="45">
        <v>50</v>
      </c>
      <c r="P8" s="45">
        <v>0</v>
      </c>
      <c r="Q8" s="45">
        <v>1</v>
      </c>
      <c r="R8" s="45">
        <v>0</v>
      </c>
      <c r="S8" s="45"/>
      <c r="T8" s="45"/>
      <c r="U8" s="45"/>
      <c r="V8" s="45">
        <v>1.2</v>
      </c>
      <c r="W8" s="45">
        <v>1.2</v>
      </c>
    </row>
    <row r="9" spans="1:27" x14ac:dyDescent="0.6">
      <c r="A9" s="8">
        <v>310301</v>
      </c>
      <c r="B9" s="8" t="s">
        <v>469</v>
      </c>
      <c r="C9" s="8" t="s">
        <v>304</v>
      </c>
      <c r="D9" s="21" t="s">
        <v>315</v>
      </c>
      <c r="F9" s="8">
        <v>1</v>
      </c>
      <c r="L9" s="35">
        <v>313010</v>
      </c>
      <c r="M9" s="8" t="s">
        <v>326</v>
      </c>
      <c r="N9" s="9" t="s">
        <v>677</v>
      </c>
      <c r="O9" s="18">
        <v>10</v>
      </c>
      <c r="P9" s="8">
        <v>0</v>
      </c>
      <c r="Q9" s="8">
        <v>1</v>
      </c>
      <c r="R9" s="8">
        <v>0</v>
      </c>
      <c r="V9" s="8">
        <v>1.5</v>
      </c>
    </row>
    <row r="10" spans="1:27" ht="33.75" x14ac:dyDescent="0.6">
      <c r="A10" s="8">
        <v>310302</v>
      </c>
      <c r="B10" s="8" t="s">
        <v>469</v>
      </c>
      <c r="C10" s="8" t="s">
        <v>312</v>
      </c>
      <c r="D10" s="21" t="s">
        <v>317</v>
      </c>
      <c r="F10" s="8">
        <v>2</v>
      </c>
      <c r="H10" s="49">
        <v>7.0000000000000007E-2</v>
      </c>
      <c r="I10" s="49">
        <v>7.0000000000000007E-2</v>
      </c>
      <c r="J10" s="31"/>
      <c r="L10" s="35">
        <v>313020</v>
      </c>
      <c r="M10" s="8" t="s">
        <v>323</v>
      </c>
      <c r="N10" s="9" t="s">
        <v>676</v>
      </c>
      <c r="O10" s="18">
        <v>30</v>
      </c>
      <c r="P10" s="8">
        <v>0</v>
      </c>
      <c r="Q10" s="8">
        <v>0</v>
      </c>
      <c r="R10" s="8">
        <v>1</v>
      </c>
      <c r="S10" s="8" t="s">
        <v>392</v>
      </c>
      <c r="T10" s="8">
        <v>1</v>
      </c>
      <c r="U10" s="8">
        <v>1</v>
      </c>
      <c r="V10" s="8">
        <v>0.8</v>
      </c>
      <c r="W10" s="8">
        <v>0.8</v>
      </c>
    </row>
    <row r="11" spans="1:27" x14ac:dyDescent="0.6">
      <c r="A11" s="8">
        <v>310303</v>
      </c>
      <c r="B11" s="8" t="s">
        <v>469</v>
      </c>
      <c r="C11" s="8" t="s">
        <v>314</v>
      </c>
      <c r="D11" s="21" t="s">
        <v>316</v>
      </c>
      <c r="F11" s="8">
        <v>3</v>
      </c>
      <c r="H11" s="31">
        <v>0.05</v>
      </c>
      <c r="J11" s="31">
        <v>0.05</v>
      </c>
      <c r="L11" s="35">
        <v>313030</v>
      </c>
      <c r="M11" s="8" t="s">
        <v>331</v>
      </c>
      <c r="N11" s="9" t="s">
        <v>675</v>
      </c>
      <c r="O11" s="18">
        <v>50</v>
      </c>
      <c r="P11" s="8">
        <v>0</v>
      </c>
      <c r="Q11" s="8">
        <v>1</v>
      </c>
      <c r="R11" s="8">
        <v>2</v>
      </c>
      <c r="V11" s="8">
        <v>1.2</v>
      </c>
    </row>
    <row r="12" spans="1:27" x14ac:dyDescent="0.6">
      <c r="A12" s="10">
        <v>310401</v>
      </c>
      <c r="B12" s="10" t="s">
        <v>470</v>
      </c>
      <c r="C12" s="10" t="s">
        <v>306</v>
      </c>
      <c r="D12" s="47" t="s">
        <v>315</v>
      </c>
      <c r="E12" s="10"/>
      <c r="F12" s="10">
        <v>1</v>
      </c>
      <c r="G12" s="10"/>
      <c r="H12" s="10"/>
      <c r="I12" s="10"/>
      <c r="J12" s="10"/>
      <c r="K12" s="40"/>
      <c r="L12" s="36">
        <v>314010</v>
      </c>
      <c r="M12" s="10" t="s">
        <v>327</v>
      </c>
      <c r="N12" s="11" t="s">
        <v>683</v>
      </c>
      <c r="O12" s="45">
        <v>10</v>
      </c>
      <c r="P12" s="45">
        <v>0</v>
      </c>
      <c r="Q12" s="45">
        <v>1</v>
      </c>
      <c r="R12" s="45">
        <v>0</v>
      </c>
      <c r="S12" s="45"/>
      <c r="T12" s="45"/>
      <c r="U12" s="45"/>
      <c r="V12" s="45">
        <v>1.5</v>
      </c>
      <c r="W12" s="45"/>
    </row>
    <row r="13" spans="1:27" ht="33.75" x14ac:dyDescent="0.6">
      <c r="A13" s="10">
        <v>310402</v>
      </c>
      <c r="B13" s="10" t="s">
        <v>470</v>
      </c>
      <c r="C13" s="10" t="s">
        <v>308</v>
      </c>
      <c r="D13" s="47" t="s">
        <v>319</v>
      </c>
      <c r="E13" s="10"/>
      <c r="F13" s="48">
        <v>5</v>
      </c>
      <c r="G13" s="10"/>
      <c r="H13" s="49">
        <v>0.1</v>
      </c>
      <c r="I13" s="10"/>
      <c r="J13" s="46"/>
      <c r="K13" s="40"/>
      <c r="L13" s="36">
        <v>314020</v>
      </c>
      <c r="M13" s="10" t="s">
        <v>324</v>
      </c>
      <c r="N13" s="11" t="s">
        <v>682</v>
      </c>
      <c r="O13" s="45">
        <v>30</v>
      </c>
      <c r="P13" s="45">
        <v>0</v>
      </c>
      <c r="Q13" s="45">
        <v>0</v>
      </c>
      <c r="R13" s="45">
        <v>0</v>
      </c>
      <c r="S13" s="45"/>
      <c r="T13" s="45"/>
      <c r="U13" s="45"/>
      <c r="V13" s="45">
        <v>1.8</v>
      </c>
      <c r="W13" s="45"/>
    </row>
    <row r="14" spans="1:27" ht="33.75" x14ac:dyDescent="0.6">
      <c r="A14" s="10">
        <v>310403</v>
      </c>
      <c r="B14" s="10" t="s">
        <v>470</v>
      </c>
      <c r="C14" s="10" t="s">
        <v>310</v>
      </c>
      <c r="D14" s="47" t="s">
        <v>316</v>
      </c>
      <c r="E14" s="10"/>
      <c r="F14" s="10">
        <v>3</v>
      </c>
      <c r="G14" s="10"/>
      <c r="H14" s="10"/>
      <c r="I14" s="10"/>
      <c r="J14" s="46">
        <v>0.1</v>
      </c>
      <c r="K14" s="40"/>
      <c r="L14" s="36">
        <v>314030</v>
      </c>
      <c r="M14" s="10" t="s">
        <v>328</v>
      </c>
      <c r="N14" s="11" t="s">
        <v>681</v>
      </c>
      <c r="O14" s="45">
        <v>50</v>
      </c>
      <c r="P14" s="45">
        <v>0</v>
      </c>
      <c r="Q14" s="45">
        <v>1</v>
      </c>
      <c r="R14" s="45">
        <v>2</v>
      </c>
      <c r="S14" s="45"/>
      <c r="T14" s="45"/>
      <c r="U14" s="45"/>
      <c r="V14" s="45">
        <v>1.5</v>
      </c>
      <c r="W14" s="45"/>
    </row>
    <row r="15" spans="1:27" x14ac:dyDescent="0.6">
      <c r="A15" s="8">
        <v>310501</v>
      </c>
      <c r="B15" s="8" t="s">
        <v>459</v>
      </c>
      <c r="C15" s="8" t="s">
        <v>471</v>
      </c>
      <c r="D15" s="21" t="s">
        <v>315</v>
      </c>
      <c r="F15" s="8">
        <v>1</v>
      </c>
      <c r="L15" s="35">
        <v>315010</v>
      </c>
      <c r="M15" s="8" t="s">
        <v>484</v>
      </c>
      <c r="N15" s="76" t="s">
        <v>321</v>
      </c>
      <c r="O15" s="18">
        <v>10</v>
      </c>
      <c r="P15" s="8">
        <v>0</v>
      </c>
      <c r="Q15" s="8">
        <v>0</v>
      </c>
      <c r="R15" s="8">
        <v>0</v>
      </c>
      <c r="V15" s="8">
        <v>1.5</v>
      </c>
    </row>
    <row r="16" spans="1:27" ht="33.75" x14ac:dyDescent="0.6">
      <c r="A16" s="8">
        <v>310502</v>
      </c>
      <c r="B16" s="8" t="s">
        <v>459</v>
      </c>
      <c r="C16" s="8" t="s">
        <v>472</v>
      </c>
      <c r="D16" s="21" t="s">
        <v>318</v>
      </c>
      <c r="F16" s="8">
        <v>2</v>
      </c>
      <c r="H16" s="49">
        <v>7.0000000000000007E-2</v>
      </c>
      <c r="J16" s="49">
        <v>7.0000000000000007E-2</v>
      </c>
      <c r="L16" s="35">
        <v>315020</v>
      </c>
      <c r="M16" s="8" t="s">
        <v>493</v>
      </c>
      <c r="N16" s="76" t="s">
        <v>680</v>
      </c>
      <c r="O16" s="18">
        <v>30</v>
      </c>
      <c r="P16" s="8">
        <v>0</v>
      </c>
      <c r="Q16" s="8">
        <v>1</v>
      </c>
      <c r="R16" s="8">
        <v>0</v>
      </c>
      <c r="V16" s="8">
        <v>1.8</v>
      </c>
    </row>
    <row r="17" spans="1:22" x14ac:dyDescent="0.6">
      <c r="A17" s="8">
        <v>310503</v>
      </c>
      <c r="B17" s="8" t="s">
        <v>459</v>
      </c>
      <c r="C17" s="8" t="s">
        <v>473</v>
      </c>
      <c r="D17" s="21" t="s">
        <v>316</v>
      </c>
      <c r="F17" s="8">
        <v>3</v>
      </c>
      <c r="H17" s="31">
        <v>0.1</v>
      </c>
      <c r="L17" s="35">
        <v>315030</v>
      </c>
      <c r="M17" s="8" t="s">
        <v>483</v>
      </c>
      <c r="N17" s="76" t="s">
        <v>674</v>
      </c>
      <c r="O17" s="18">
        <v>50</v>
      </c>
      <c r="P17" s="8">
        <v>0</v>
      </c>
      <c r="Q17" s="8">
        <v>0</v>
      </c>
      <c r="R17" s="8">
        <v>0</v>
      </c>
      <c r="V17" s="8">
        <v>2.5</v>
      </c>
    </row>
  </sheetData>
  <mergeCells count="1">
    <mergeCell ref="Y2:AA2"/>
  </mergeCells>
  <phoneticPr fontId="4"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AB2BB-5153-4042-B043-B1CF0992DABC}">
  <dimension ref="A1:N41"/>
  <sheetViews>
    <sheetView zoomScale="55" zoomScaleNormal="55" workbookViewId="0">
      <selection activeCell="G16" sqref="G16"/>
    </sheetView>
  </sheetViews>
  <sheetFormatPr defaultColWidth="8.5625" defaultRowHeight="16.899999999999999" x14ac:dyDescent="0.6"/>
  <cols>
    <col min="1" max="1" width="16" style="1" customWidth="1"/>
    <col min="2" max="2" width="33.0625" style="1" bestFit="1" customWidth="1"/>
    <col min="3" max="3" width="16.5" style="1" bestFit="1" customWidth="1"/>
    <col min="4" max="4" width="32.9375" style="1" bestFit="1" customWidth="1"/>
    <col min="5" max="16" width="25.5625" style="1" customWidth="1"/>
    <col min="17" max="16384" width="8.5625" style="1"/>
  </cols>
  <sheetData>
    <row r="1" spans="1:14" x14ac:dyDescent="0.6">
      <c r="A1" s="16" t="s">
        <v>429</v>
      </c>
      <c r="B1" s="6" t="s">
        <v>430</v>
      </c>
    </row>
    <row r="2" spans="1:14" x14ac:dyDescent="0.6">
      <c r="B2" s="65" t="s">
        <v>432</v>
      </c>
    </row>
    <row r="3" spans="1:14" ht="17.25" thickBot="1" x14ac:dyDescent="0.65">
      <c r="B3" s="66" t="s">
        <v>431</v>
      </c>
    </row>
    <row r="4" spans="1:14" ht="17.649999999999999" thickTop="1" thickBot="1" x14ac:dyDescent="0.65">
      <c r="B4" s="68" t="s">
        <v>433</v>
      </c>
    </row>
    <row r="5" spans="1:14" ht="35.25" thickTop="1" x14ac:dyDescent="0.6">
      <c r="A5" s="14" t="s">
        <v>645</v>
      </c>
    </row>
    <row r="6" spans="1:14" ht="17.25" thickBot="1" x14ac:dyDescent="0.65">
      <c r="B6" s="4" t="s">
        <v>335</v>
      </c>
      <c r="C6" s="5" t="s">
        <v>147</v>
      </c>
      <c r="D6" s="4" t="s">
        <v>110</v>
      </c>
      <c r="E6" s="4" t="s">
        <v>551</v>
      </c>
      <c r="F6" s="99" t="s">
        <v>630</v>
      </c>
      <c r="G6" s="99" t="s">
        <v>626</v>
      </c>
      <c r="H6" s="5" t="s">
        <v>622</v>
      </c>
      <c r="I6" s="5" t="s">
        <v>545</v>
      </c>
      <c r="J6" s="4" t="s">
        <v>546</v>
      </c>
      <c r="K6" s="5" t="s">
        <v>9</v>
      </c>
      <c r="L6" s="5" t="s">
        <v>8</v>
      </c>
      <c r="M6" s="5" t="s">
        <v>193</v>
      </c>
      <c r="N6" s="5" t="s">
        <v>5</v>
      </c>
    </row>
    <row r="7" spans="1:14" ht="17.649999999999999" thickTop="1" thickBot="1" x14ac:dyDescent="0.65">
      <c r="B7" s="5">
        <v>1</v>
      </c>
      <c r="C7" s="52" t="str">
        <f>'전투 시뮬레이터'!C14</f>
        <v>워리어</v>
      </c>
      <c r="D7" s="64" t="str">
        <f>IFERROR(VLOOKUP($C7,'아군 유닛'!$B$2:$F$7,2,FALSE),"")</f>
        <v>체력이 높은 근거리 병종</v>
      </c>
      <c r="E7" s="52">
        <v>1</v>
      </c>
      <c r="F7" s="52" t="str">
        <f>IFERROR(VLOOKUP($E7,'성장 시스템'!$B$27:$C$41,2,FALSE),"")</f>
        <v>N</v>
      </c>
      <c r="G7" s="52">
        <f>IFERROR(VLOOKUP(E7,'랭크별 스킬'!$L$15:$M$29,2,FALSE),"")</f>
        <v>100</v>
      </c>
      <c r="H7" s="51">
        <f>IFERROR(VLOOKUP($C7,'아군 유닛'!$B$2:$J$7,COLUMN(A1)+2,FALSE),"")</f>
        <v>7</v>
      </c>
      <c r="I7" s="51">
        <f>IFERROR(VLOOKUP($C7,'아군 유닛'!$B$2:$J$7,COLUMN(B1)+2,FALSE),"")</f>
        <v>7</v>
      </c>
      <c r="J7" s="51">
        <f>IFERROR(VLOOKUP($C7,'아군 유닛'!$B$2:$J$7,COLUMN(C1)+2,FALSE),"")</f>
        <v>6</v>
      </c>
      <c r="K7" s="72">
        <f>IFERROR(VLOOKUP($C7,'아군 유닛'!$B$2:$J$7,COLUMN(D1)+2,FALSE),"")</f>
        <v>0.1</v>
      </c>
      <c r="L7" s="72">
        <f>IFERROR(VLOOKUP($C7,'아군 유닛'!$B$2:$J$7,COLUMN(E1)+2,FALSE),"")</f>
        <v>0.25</v>
      </c>
      <c r="M7" s="72">
        <f>IFERROR(VLOOKUP($C7,'아군 유닛'!$B$2:$J$7,COLUMN(F1)+2,FALSE),"")</f>
        <v>0.1</v>
      </c>
      <c r="N7" s="51">
        <f>IFERROR(VLOOKUP($C7,'아군 유닛'!$B$2:$J$7,COLUMN(G1)+2,FALSE),"")</f>
        <v>1</v>
      </c>
    </row>
    <row r="8" spans="1:14" ht="17.649999999999999" thickTop="1" thickBot="1" x14ac:dyDescent="0.65">
      <c r="B8" s="5">
        <v>2</v>
      </c>
      <c r="C8" s="63" t="s">
        <v>457</v>
      </c>
      <c r="D8" s="64" t="str">
        <f>IFERROR(VLOOKUP($C8,'아군 유닛'!$B$2:$F$7,2,FALSE),"")</f>
        <v>단일 공격에 특화된 원거리 병종</v>
      </c>
      <c r="E8" s="52">
        <v>1</v>
      </c>
      <c r="F8" s="52" t="str">
        <f>IFERROR(VLOOKUP($E8,'성장 시스템'!$B$27:$C$41,2,FALSE),"")</f>
        <v>N</v>
      </c>
      <c r="G8" s="52">
        <f>IFERROR(VLOOKUP(E8,'랭크별 스킬'!$L$15:$M$29,2,FALSE),"")</f>
        <v>100</v>
      </c>
      <c r="H8" s="51">
        <f>IFERROR(VLOOKUP($C8,'아군 유닛'!$B$2:$J$7,COLUMN(A1)+2,FALSE),"")</f>
        <v>4</v>
      </c>
      <c r="I8" s="51">
        <f>IFERROR(VLOOKUP($C8,'아군 유닛'!$B$2:$J$7,COLUMN(B1)+2,FALSE),"")</f>
        <v>12</v>
      </c>
      <c r="J8" s="51">
        <f>IFERROR(VLOOKUP($C8,'아군 유닛'!$B$2:$J$7,COLUMN(C1)+2,FALSE),"")</f>
        <v>4</v>
      </c>
      <c r="K8" s="72">
        <f>IFERROR(VLOOKUP($C8,'아군 유닛'!$B$2:$J$7,COLUMN(D1)+2,FALSE),"")</f>
        <v>0.3</v>
      </c>
      <c r="L8" s="72">
        <f>IFERROR(VLOOKUP($C8,'아군 유닛'!$B$2:$J$7,COLUMN(E1)+2,FALSE),"")</f>
        <v>0.1</v>
      </c>
      <c r="M8" s="72">
        <f>IFERROR(VLOOKUP($C8,'아군 유닛'!$B$2:$J$7,COLUMN(F1)+2,FALSE),"")</f>
        <v>0.2</v>
      </c>
      <c r="N8" s="51">
        <f>IFERROR(VLOOKUP($C8,'아군 유닛'!$B$2:$J$7,COLUMN(G1)+2,FALSE),"")</f>
        <v>3</v>
      </c>
    </row>
    <row r="9" spans="1:14" ht="17.649999999999999" thickTop="1" thickBot="1" x14ac:dyDescent="0.65">
      <c r="B9" s="5">
        <v>3</v>
      </c>
      <c r="C9" s="63" t="s">
        <v>456</v>
      </c>
      <c r="D9" s="64" t="str">
        <f>IFERROR(VLOOKUP($C9,'아군 유닛'!$B$2:$F$7,2,FALSE),"")</f>
        <v>다중 공격에 특화된 원거리 병종</v>
      </c>
      <c r="E9" s="52">
        <v>1</v>
      </c>
      <c r="F9" s="52" t="str">
        <f>IFERROR(VLOOKUP($E9,'성장 시스템'!$B$27:$C$41,2,FALSE),"")</f>
        <v>N</v>
      </c>
      <c r="G9" s="52">
        <f>IFERROR(VLOOKUP(E9,'랭크별 스킬'!$L$15:$M$29,2,FALSE),"")</f>
        <v>100</v>
      </c>
      <c r="H9" s="51">
        <f>IFERROR(VLOOKUP($C9,'아군 유닛'!$B$2:$J$7,COLUMN(A1)+2,FALSE),"")</f>
        <v>6</v>
      </c>
      <c r="I9" s="51">
        <f>IFERROR(VLOOKUP($C9,'아군 유닛'!$B$2:$J$7,COLUMN(B1)+2,FALSE),"")</f>
        <v>12</v>
      </c>
      <c r="J9" s="51">
        <f>IFERROR(VLOOKUP($C9,'아군 유닛'!$B$2:$J$7,COLUMN(C1)+2,FALSE),"")</f>
        <v>2</v>
      </c>
      <c r="K9" s="72">
        <f>IFERROR(VLOOKUP($C9,'아군 유닛'!$B$2:$J$7,COLUMN(D1)+2,FALSE),"")</f>
        <v>0.2</v>
      </c>
      <c r="L9" s="72">
        <f>IFERROR(VLOOKUP($C9,'아군 유닛'!$B$2:$J$7,COLUMN(E1)+2,FALSE),"")</f>
        <v>0.05</v>
      </c>
      <c r="M9" s="72">
        <f>IFERROR(VLOOKUP($C9,'아군 유닛'!$B$2:$J$7,COLUMN(F1)+2,FALSE),"")</f>
        <v>0.1</v>
      </c>
      <c r="N9" s="51">
        <f>IFERROR(VLOOKUP($C9,'아군 유닛'!$B$2:$J$7,COLUMN(G1)+2,FALSE),"")</f>
        <v>2</v>
      </c>
    </row>
    <row r="10" spans="1:14" ht="17.649999999999999" thickTop="1" thickBot="1" x14ac:dyDescent="0.65">
      <c r="B10" s="5">
        <v>4</v>
      </c>
      <c r="C10" s="63" t="s">
        <v>458</v>
      </c>
      <c r="D10" s="64" t="str">
        <f>IFERROR(VLOOKUP($C10,'아군 유닛'!$B$2:$F$7,2,FALSE),"")</f>
        <v>회복이 가능한 원거리 병종</v>
      </c>
      <c r="E10" s="52">
        <v>1</v>
      </c>
      <c r="F10" s="52" t="str">
        <f>IFERROR(VLOOKUP($E10,'성장 시스템'!$B$27:$C$41,2,FALSE),"")</f>
        <v>N</v>
      </c>
      <c r="G10" s="52">
        <f>IFERROR(VLOOKUP(E10,'랭크별 스킬'!$L$15:$M$29,2,FALSE),"")</f>
        <v>100</v>
      </c>
      <c r="H10" s="51">
        <f>IFERROR(VLOOKUP($C10,'아군 유닛'!$B$2:$J$7,COLUMN(A1)+2,FALSE),"")</f>
        <v>6</v>
      </c>
      <c r="I10" s="51">
        <f>IFERROR(VLOOKUP($C10,'아군 유닛'!$B$2:$J$7,COLUMN(B1)+2,FALSE),"")</f>
        <v>8</v>
      </c>
      <c r="J10" s="51">
        <f>IFERROR(VLOOKUP($C10,'아군 유닛'!$B$2:$J$7,COLUMN(C1)+2,FALSE),"")</f>
        <v>6</v>
      </c>
      <c r="K10" s="72">
        <f>IFERROR(VLOOKUP($C10,'아군 유닛'!$B$2:$J$7,COLUMN(D1)+2,FALSE),"")</f>
        <v>0.1</v>
      </c>
      <c r="L10" s="72">
        <f>IFERROR(VLOOKUP($C10,'아군 유닛'!$B$2:$J$7,COLUMN(E1)+2,FALSE),"")</f>
        <v>0.1</v>
      </c>
      <c r="M10" s="72">
        <f>IFERROR(VLOOKUP($C10,'아군 유닛'!$B$2:$J$7,COLUMN(F1)+2,FALSE),"")</f>
        <v>0.15</v>
      </c>
      <c r="N10" s="51">
        <f>IFERROR(VLOOKUP($C10,'아군 유닛'!$B$2:$J$7,COLUMN(G1)+2,FALSE),"")</f>
        <v>2</v>
      </c>
    </row>
    <row r="11" spans="1:14" ht="17.25" thickTop="1" x14ac:dyDescent="0.6"/>
    <row r="12" spans="1:14" ht="34.9" x14ac:dyDescent="0.6">
      <c r="A12" s="14" t="s">
        <v>646</v>
      </c>
    </row>
    <row r="13" spans="1:14" ht="84.75" thickBot="1" x14ac:dyDescent="0.65">
      <c r="B13" s="4" t="s">
        <v>335</v>
      </c>
      <c r="C13" s="5" t="s">
        <v>147</v>
      </c>
      <c r="D13" s="99" t="s">
        <v>110</v>
      </c>
      <c r="E13" s="99" t="s">
        <v>551</v>
      </c>
      <c r="F13" s="99" t="s">
        <v>630</v>
      </c>
      <c r="G13" s="99" t="s">
        <v>626</v>
      </c>
      <c r="H13" s="4" t="s">
        <v>623</v>
      </c>
      <c r="I13" s="4" t="s">
        <v>624</v>
      </c>
      <c r="J13" s="4" t="s">
        <v>625</v>
      </c>
    </row>
    <row r="14" spans="1:14" ht="17.649999999999999" thickTop="1" thickBot="1" x14ac:dyDescent="0.65">
      <c r="B14" s="5">
        <v>1</v>
      </c>
      <c r="C14" s="52" t="str">
        <f>$C$7</f>
        <v>워리어</v>
      </c>
      <c r="D14" s="112" t="str">
        <f>$D$7</f>
        <v>체력이 높은 근거리 병종</v>
      </c>
      <c r="E14" s="52">
        <f>'전투 시뮬레이터'!D14</f>
        <v>1</v>
      </c>
      <c r="F14" s="52" t="str">
        <f>IFERROR(VLOOKUP($E14,'성장 시스템'!$B$27:$C$41,2,FALSE),"")</f>
        <v>N</v>
      </c>
      <c r="G14" s="51">
        <f>IFERROR(VLOOKUP(E14,'랭크별 스킬'!$L$15:$M$29,2,FALSE),"")</f>
        <v>100</v>
      </c>
      <c r="H14" s="67">
        <f>H7+('성장 시스템'!$C$12+VLOOKUP($C$14,'성장 시스템'!$B$15:$E$19,2,FALSE))*($E$14-1)</f>
        <v>7</v>
      </c>
      <c r="I14" s="67">
        <f>I7+('성장 시스템'!$C$12+VLOOKUP($C$14,'성장 시스템'!$B$15:$E$19,3,FALSE))*($E$14-1)</f>
        <v>7</v>
      </c>
      <c r="J14" s="67">
        <f>J7+('성장 시스템'!$C$12+VLOOKUP($C$14,'성장 시스템'!$B$15:$E$19,4,FALSE))*($E$14-1)</f>
        <v>6</v>
      </c>
    </row>
    <row r="15" spans="1:14" ht="17.649999999999999" thickTop="1" thickBot="1" x14ac:dyDescent="0.65">
      <c r="B15" s="5">
        <v>2</v>
      </c>
      <c r="C15" s="52" t="str">
        <f>$C$8</f>
        <v>메이지</v>
      </c>
      <c r="D15" s="112" t="str">
        <f>$D$8</f>
        <v>단일 공격에 특화된 원거리 병종</v>
      </c>
      <c r="E15" s="63">
        <v>2</v>
      </c>
      <c r="F15" s="52" t="str">
        <f>IFERROR(VLOOKUP($E15,'성장 시스템'!$B$27:$C$41,2,FALSE),"")</f>
        <v>M</v>
      </c>
      <c r="G15" s="51">
        <f>IFERROR(VLOOKUP(E15,'랭크별 스킬'!$L$15:$M$29,2,FALSE),"")</f>
        <v>110</v>
      </c>
      <c r="H15" s="67">
        <f>H8+('성장 시스템'!$C$12+VLOOKUP($C15,'성장 시스템'!$B$15:$E$19,2,FALSE))*($E15-1)</f>
        <v>5</v>
      </c>
      <c r="I15" s="67">
        <f>I8+('성장 시스템'!$C$12+VLOOKUP($C$15,'성장 시스템'!$B$15:$E$19,3,FALSE))*($E$15-1)</f>
        <v>15</v>
      </c>
      <c r="J15" s="67">
        <f>J8+('성장 시스템'!$C$12+VLOOKUP($C$15,'성장 시스템'!$B$15:$E$19,4,FALSE))*($E$15-1)</f>
        <v>5</v>
      </c>
    </row>
    <row r="16" spans="1:14" ht="17.649999999999999" thickTop="1" thickBot="1" x14ac:dyDescent="0.65">
      <c r="B16" s="5">
        <v>3</v>
      </c>
      <c r="C16" s="52" t="str">
        <f>$C$9</f>
        <v>아처</v>
      </c>
      <c r="D16" s="112" t="str">
        <f>$D$9</f>
        <v>다중 공격에 특화된 원거리 병종</v>
      </c>
      <c r="E16" s="63">
        <v>3</v>
      </c>
      <c r="F16" s="52" t="str">
        <f>IFERROR(VLOOKUP($E16,'성장 시스템'!$B$27:$C$41,2,FALSE),"")</f>
        <v>L</v>
      </c>
      <c r="G16" s="51">
        <f>IFERROR(VLOOKUP(E16,'랭크별 스킬'!$L$15:$M$29,2,FALSE),"")</f>
        <v>110</v>
      </c>
      <c r="H16" s="67">
        <f>H9+('성장 시스템'!$C$12+VLOOKUP($C$16,'성장 시스템'!$B$15:$E$19,2,FALSE))*($E$16-1)</f>
        <v>10</v>
      </c>
      <c r="I16" s="67">
        <f>I9+('성장 시스템'!$C$12+VLOOKUP($C$16,'성장 시스템'!$B$15:$E$19,3,FALSE))*($E$16-1)</f>
        <v>16</v>
      </c>
      <c r="J16" s="67">
        <f>J9+('성장 시스템'!$C$12+VLOOKUP($C$16,'성장 시스템'!$B$15:$E$19,4,FALSE))*($E$16-1)</f>
        <v>4</v>
      </c>
    </row>
    <row r="17" spans="1:10" ht="17.649999999999999" thickTop="1" thickBot="1" x14ac:dyDescent="0.65">
      <c r="B17" s="5">
        <v>4</v>
      </c>
      <c r="C17" s="52" t="str">
        <f>$C$10</f>
        <v>클레릭</v>
      </c>
      <c r="D17" s="112" t="str">
        <f>$D$10</f>
        <v>회복이 가능한 원거리 병종</v>
      </c>
      <c r="E17" s="63">
        <v>4</v>
      </c>
      <c r="F17" s="52" t="str">
        <f>IFERROR(VLOOKUP($E17,'성장 시스템'!$B$27:$C$41,2,FALSE),"")</f>
        <v>K</v>
      </c>
      <c r="G17" s="51">
        <f>IFERROR(VLOOKUP(E17,'랭크별 스킬'!$L$15:$M$29,2,FALSE),"")</f>
        <v>120</v>
      </c>
      <c r="H17" s="67">
        <f>H10+('성장 시스템'!$C$12+VLOOKUP($C$17,'성장 시스템'!$B$15:$E$19,2,FALSE))*($E$17-1)</f>
        <v>12</v>
      </c>
      <c r="I17" s="67">
        <f>I10+('성장 시스템'!$C$12+VLOOKUP($C$17,'성장 시스템'!$B$15:$E$19,3,FALSE))*($E$17-1)</f>
        <v>11</v>
      </c>
      <c r="J17" s="67">
        <f>J10+('성장 시스템'!$C$12+VLOOKUP($C$17,'성장 시스템'!$B$15:$E$19,4,FALSE))*($E$17-1)</f>
        <v>12</v>
      </c>
    </row>
    <row r="18" spans="1:10" ht="17.25" thickTop="1" x14ac:dyDescent="0.6"/>
    <row r="19" spans="1:10" ht="34.9" x14ac:dyDescent="0.6">
      <c r="A19" s="14" t="s">
        <v>647</v>
      </c>
    </row>
    <row r="20" spans="1:10" ht="34.9" x14ac:dyDescent="0.6">
      <c r="B20" s="14"/>
      <c r="D20" s="123" t="s">
        <v>354</v>
      </c>
      <c r="E20" s="124"/>
      <c r="F20" s="124"/>
      <c r="G20" s="124"/>
      <c r="H20" s="124"/>
      <c r="I20" s="124"/>
      <c r="J20" s="125"/>
    </row>
    <row r="21" spans="1:10" ht="33" customHeight="1" x14ac:dyDescent="0.6">
      <c r="B21" s="4" t="s">
        <v>335</v>
      </c>
      <c r="C21" s="4" t="s">
        <v>333</v>
      </c>
      <c r="D21" s="5" t="s">
        <v>176</v>
      </c>
      <c r="E21" s="5" t="s">
        <v>177</v>
      </c>
      <c r="F21" s="5" t="s">
        <v>178</v>
      </c>
      <c r="G21" s="5" t="s">
        <v>180</v>
      </c>
      <c r="H21" s="5" t="s">
        <v>181</v>
      </c>
      <c r="I21" s="5" t="s">
        <v>182</v>
      </c>
      <c r="J21" s="5" t="s">
        <v>183</v>
      </c>
    </row>
    <row r="22" spans="1:10" x14ac:dyDescent="0.6">
      <c r="B22" s="5">
        <v>1</v>
      </c>
      <c r="C22" s="59" t="s">
        <v>460</v>
      </c>
      <c r="D22" s="71">
        <f>IFERROR(VLOOKUP($C22,무기!$C$2:$K$14,3,FALSE),"")</f>
        <v>0</v>
      </c>
      <c r="E22" s="71">
        <f>IFERROR(VLOOKUP($C22,무기!$C$2:$K$14,4,FALSE),"")</f>
        <v>1</v>
      </c>
      <c r="F22" s="71">
        <f>IFERROR(VLOOKUP($C22,무기!$C$2:$K$14,5,FALSE),"")</f>
        <v>0</v>
      </c>
      <c r="G22" s="72">
        <f>IFERROR(VLOOKUP($C22,무기!$C$2:$K$14,6,FALSE),"")</f>
        <v>0</v>
      </c>
      <c r="H22" s="72">
        <f>IFERROR(VLOOKUP($C22,무기!$C$2:$K$14,7,FALSE),"")</f>
        <v>0</v>
      </c>
      <c r="I22" s="72">
        <f>IFERROR(VLOOKUP($C22,무기!$C$2:$K$14,8,FALSE),"")</f>
        <v>0</v>
      </c>
      <c r="J22" s="71">
        <f>IFERROR(VLOOKUP($C22,무기!$C$2:$K$14,9,FALSE),"")</f>
        <v>0</v>
      </c>
    </row>
    <row r="23" spans="1:10" x14ac:dyDescent="0.6">
      <c r="B23" s="5">
        <v>2</v>
      </c>
      <c r="C23" s="60" t="s">
        <v>303</v>
      </c>
      <c r="D23" s="71">
        <f>IFERROR(VLOOKUP($C23,무기!$C$2:$K$14,3,FALSE),"")</f>
        <v>0</v>
      </c>
      <c r="E23" s="71">
        <f>IFERROR(VLOOKUP($C23,무기!$C$2:$K$14,4,FALSE),"")</f>
        <v>1</v>
      </c>
      <c r="F23" s="71">
        <f>IFERROR(VLOOKUP($C23,무기!$C$2:$K$14,5,FALSE),"")</f>
        <v>0</v>
      </c>
      <c r="G23" s="72">
        <f>IFERROR(VLOOKUP($C23,무기!$C$2:$K$14,6,FALSE),"")</f>
        <v>0</v>
      </c>
      <c r="H23" s="72">
        <f>IFERROR(VLOOKUP($C23,무기!$C$2:$K$14,7,FALSE),"")</f>
        <v>0</v>
      </c>
      <c r="I23" s="72">
        <f>IFERROR(VLOOKUP($C23,무기!$C$2:$K$14,8,FALSE),"")</f>
        <v>0</v>
      </c>
      <c r="J23" s="71">
        <f>IFERROR(VLOOKUP($C23,무기!$C$2:$K$14,9,FALSE),"")</f>
        <v>0</v>
      </c>
    </row>
    <row r="24" spans="1:10" x14ac:dyDescent="0.6">
      <c r="B24" s="5">
        <v>3</v>
      </c>
      <c r="C24" s="60" t="s">
        <v>297</v>
      </c>
      <c r="D24" s="71">
        <f>IFERROR(VLOOKUP($C24,무기!$C$2:$K$14,3,FALSE),"")</f>
        <v>0</v>
      </c>
      <c r="E24" s="71">
        <f>IFERROR(VLOOKUP($C24,무기!$C$2:$K$14,4,FALSE),"")</f>
        <v>1</v>
      </c>
      <c r="F24" s="71">
        <f>IFERROR(VLOOKUP($C24,무기!$C$2:$K$14,5,FALSE),"")</f>
        <v>0</v>
      </c>
      <c r="G24" s="72">
        <f>IFERROR(VLOOKUP($C24,무기!$C$2:$K$14,6,FALSE),"")</f>
        <v>0</v>
      </c>
      <c r="H24" s="72">
        <f>IFERROR(VLOOKUP($C24,무기!$C$2:$K$14,7,FALSE),"")</f>
        <v>0</v>
      </c>
      <c r="I24" s="72">
        <f>IFERROR(VLOOKUP($C24,무기!$C$2:$K$14,8,FALSE),"")</f>
        <v>0</v>
      </c>
      <c r="J24" s="71">
        <f>IFERROR(VLOOKUP($C24,무기!$C$2:$K$14,9,FALSE),"")</f>
        <v>0</v>
      </c>
    </row>
    <row r="25" spans="1:10" x14ac:dyDescent="0.6">
      <c r="B25" s="5">
        <v>4</v>
      </c>
      <c r="C25" s="60" t="s">
        <v>305</v>
      </c>
      <c r="D25" s="71">
        <f>IFERROR(VLOOKUP($C25,무기!$C$2:$K$14,3,FALSE),"")</f>
        <v>0</v>
      </c>
      <c r="E25" s="71">
        <f>IFERROR(VLOOKUP($C25,무기!$C$2:$K$14,4,FALSE),"")</f>
        <v>1</v>
      </c>
      <c r="F25" s="71">
        <f>IFERROR(VLOOKUP($C25,무기!$C$2:$K$14,5,FALSE),"")</f>
        <v>0</v>
      </c>
      <c r="G25" s="72">
        <f>IFERROR(VLOOKUP($C25,무기!$C$2:$K$14,6,FALSE),"")</f>
        <v>0</v>
      </c>
      <c r="H25" s="72">
        <f>IFERROR(VLOOKUP($C25,무기!$C$2:$K$14,7,FALSE),"")</f>
        <v>0</v>
      </c>
      <c r="I25" s="72">
        <f>IFERROR(VLOOKUP($C25,무기!$C$2:$K$14,8,FALSE),"")</f>
        <v>0</v>
      </c>
      <c r="J25" s="71">
        <f>IFERROR(VLOOKUP($C25,무기!$C$2:$K$14,9,FALSE),"")</f>
        <v>0</v>
      </c>
    </row>
    <row r="27" spans="1:10" ht="34.9" x14ac:dyDescent="0.6">
      <c r="A27" s="14" t="s">
        <v>648</v>
      </c>
    </row>
    <row r="28" spans="1:10" ht="17.25" thickBot="1" x14ac:dyDescent="0.65">
      <c r="B28" s="4" t="s">
        <v>335</v>
      </c>
      <c r="C28" s="5" t="s">
        <v>147</v>
      </c>
      <c r="D28" s="4" t="s">
        <v>649</v>
      </c>
      <c r="E28" s="4" t="s">
        <v>351</v>
      </c>
      <c r="F28" s="4" t="s">
        <v>352</v>
      </c>
      <c r="G28" s="4" t="s">
        <v>333</v>
      </c>
      <c r="H28" s="4" t="s">
        <v>334</v>
      </c>
      <c r="I28" s="4" t="s">
        <v>353</v>
      </c>
    </row>
    <row r="29" spans="1:10" ht="85.15" thickTop="1" thickBot="1" x14ac:dyDescent="0.65">
      <c r="B29" s="5">
        <v>1</v>
      </c>
      <c r="C29" s="52" t="str">
        <f>$C$7</f>
        <v>워리어</v>
      </c>
      <c r="D29" s="52">
        <f>$E$14</f>
        <v>1</v>
      </c>
      <c r="E29" s="60" t="s">
        <v>13</v>
      </c>
      <c r="F29" s="69" t="str">
        <f>IFERROR(VLOOKUP($E29,'직업 스킬'!$D$3:$E$30,2,FALSE),"")</f>
        <v>적 1명에게 120% 대미지를 입히고, 1턴 동안 해당 대상이 단일 공격 시 자신을 공격하게 한다. (적 전열이 있을 경우, 전열 우선 공격)</v>
      </c>
      <c r="G29" s="52" t="str">
        <f>$C$22</f>
        <v>하급 도끼</v>
      </c>
      <c r="H29" s="51" t="str">
        <f>IFERROR(VLOOKUP($G29,무기!$C$3:$M$14,11,FALSE),"")</f>
        <v>강타</v>
      </c>
      <c r="I29" s="69" t="str">
        <f>IFERROR(VLOOKUP($G29,무기!$C$3:$N$14,12,FALSE),"")</f>
        <v>적 유닛 1명에게 150% 대미지를 준다. (전열 우선)</v>
      </c>
    </row>
    <row r="30" spans="1:10" ht="34.5" thickTop="1" thickBot="1" x14ac:dyDescent="0.65">
      <c r="B30" s="5">
        <v>2</v>
      </c>
      <c r="C30" s="52" t="str">
        <f>$C$8</f>
        <v>메이지</v>
      </c>
      <c r="D30" s="52">
        <f>$E$15</f>
        <v>2</v>
      </c>
      <c r="E30" s="60" t="s">
        <v>650</v>
      </c>
      <c r="F30" s="69" t="str">
        <f>IFERROR(VLOOKUP($E30,'직업 스킬'!$D$3:$E$30,2,FALSE),"")</f>
        <v>적 1명에게 100% 대미지를 입힌다.</v>
      </c>
      <c r="G30" s="52" t="str">
        <f>$C$23</f>
        <v>하급 완드</v>
      </c>
      <c r="H30" s="51" t="str">
        <f>IFERROR(VLOOKUP($G30,무기!$C$3:$M$14,11,FALSE),"")</f>
        <v>매직 미사일</v>
      </c>
      <c r="I30" s="69" t="str">
        <f>IFERROR(VLOOKUP($G30,무기!$C$3:$N$14,12,FALSE),"")</f>
        <v xml:space="preserve">적 유닛 1명에게 150% 대미지를 준다. </v>
      </c>
    </row>
    <row r="31" spans="1:10" ht="34.5" thickTop="1" thickBot="1" x14ac:dyDescent="0.65">
      <c r="B31" s="5">
        <v>3</v>
      </c>
      <c r="C31" s="52" t="str">
        <f>$C$9</f>
        <v>아처</v>
      </c>
      <c r="D31" s="52">
        <f>$E$16</f>
        <v>3</v>
      </c>
      <c r="E31" s="60" t="s">
        <v>345</v>
      </c>
      <c r="F31" s="69" t="str">
        <f>IFERROR(VLOOKUP($E31,'직업 스킬'!$D$3:$E$30,2,FALSE),"")</f>
        <v>적 1명에게 100% 대미지를 입힌다.</v>
      </c>
      <c r="G31" s="52" t="str">
        <f>$C$24</f>
        <v>하급 활</v>
      </c>
      <c r="H31" s="51" t="str">
        <f>IFERROR(VLOOKUP($G31,무기!$C$3:$M$14,11,FALSE),"")</f>
        <v>정밀 조준</v>
      </c>
      <c r="I31" s="69" t="str">
        <f>IFERROR(VLOOKUP($G31,무기!$C$3:$N$14,12,FALSE),"")</f>
        <v xml:space="preserve">적 유닛 1명에게 150% 대미지를 준다. </v>
      </c>
    </row>
    <row r="32" spans="1:10" ht="34.5" thickTop="1" thickBot="1" x14ac:dyDescent="0.65">
      <c r="B32" s="5">
        <v>4</v>
      </c>
      <c r="C32" s="52" t="str">
        <f>$C$10</f>
        <v>클레릭</v>
      </c>
      <c r="D32" s="52">
        <f>$E$17</f>
        <v>4</v>
      </c>
      <c r="E32" s="60" t="s">
        <v>633</v>
      </c>
      <c r="F32" s="69" t="str">
        <f>IFERROR(VLOOKUP($E32,'직업 스킬'!$D$3:$E$30,2,FALSE),"")</f>
        <v>아군 1명 체력 30% 회복, IP 10 고정 회복</v>
      </c>
      <c r="G32" s="52" t="str">
        <f>$C$25</f>
        <v>하급 스태프</v>
      </c>
      <c r="H32" s="51" t="str">
        <f>IFERROR(VLOOKUP($G32,무기!$C$3:$M$14,11,FALSE),"")</f>
        <v>성광</v>
      </c>
      <c r="I32" s="69" t="str">
        <f>IFERROR(VLOOKUP($G32,무기!$C$3:$N$14,12,FALSE),"")</f>
        <v>적 유닛 1명에게 150% 대미지를 준다.</v>
      </c>
    </row>
    <row r="33" spans="1:14" ht="17.25" thickTop="1" x14ac:dyDescent="0.6"/>
    <row r="34" spans="1:14" ht="34.9" x14ac:dyDescent="0.6">
      <c r="A34" s="14" t="s">
        <v>435</v>
      </c>
    </row>
    <row r="35" spans="1:14" x14ac:dyDescent="0.6">
      <c r="E35" s="123" t="s">
        <v>434</v>
      </c>
      <c r="F35" s="124"/>
      <c r="G35" s="124"/>
      <c r="H35" s="124"/>
      <c r="I35" s="124"/>
      <c r="J35" s="124"/>
      <c r="K35" s="125"/>
    </row>
    <row r="36" spans="1:14" ht="17.25" thickBot="1" x14ac:dyDescent="0.65">
      <c r="B36" s="4" t="s">
        <v>335</v>
      </c>
      <c r="C36" s="5" t="s">
        <v>147</v>
      </c>
      <c r="D36" s="4" t="s">
        <v>649</v>
      </c>
      <c r="E36" s="4" t="s">
        <v>103</v>
      </c>
      <c r="F36" s="4" t="s">
        <v>0</v>
      </c>
      <c r="G36" s="4" t="s">
        <v>436</v>
      </c>
      <c r="H36" s="5" t="s">
        <v>9</v>
      </c>
      <c r="I36" s="5" t="s">
        <v>8</v>
      </c>
      <c r="J36" s="5" t="s">
        <v>193</v>
      </c>
      <c r="K36" s="5" t="s">
        <v>5</v>
      </c>
      <c r="L36" s="4" t="s">
        <v>351</v>
      </c>
      <c r="M36" s="4" t="s">
        <v>333</v>
      </c>
      <c r="N36" s="4" t="s">
        <v>334</v>
      </c>
    </row>
    <row r="37" spans="1:14" ht="17.649999999999999" thickTop="1" thickBot="1" x14ac:dyDescent="0.65">
      <c r="B37" s="5">
        <v>1</v>
      </c>
      <c r="C37" s="52" t="str">
        <f>$C$7</f>
        <v>워리어</v>
      </c>
      <c r="D37" s="52">
        <f>$E$14</f>
        <v>1</v>
      </c>
      <c r="E37" s="73">
        <f t="shared" ref="E37:G40" si="0">SUM(H14,D22)</f>
        <v>7</v>
      </c>
      <c r="F37" s="73">
        <f t="shared" si="0"/>
        <v>8</v>
      </c>
      <c r="G37" s="73">
        <f t="shared" si="0"/>
        <v>6</v>
      </c>
      <c r="H37" s="70">
        <f t="shared" ref="H37:J40" si="1">MIN(SUM(K7,G22),70%)</f>
        <v>0.1</v>
      </c>
      <c r="I37" s="70">
        <f t="shared" si="1"/>
        <v>0.25</v>
      </c>
      <c r="J37" s="70">
        <f t="shared" si="1"/>
        <v>0.1</v>
      </c>
      <c r="K37" s="73">
        <f>SUM(N7,J22)</f>
        <v>1</v>
      </c>
      <c r="L37" s="52" t="str">
        <f>$E$29</f>
        <v>도발 베기</v>
      </c>
      <c r="M37" s="52" t="str">
        <f>$C$22</f>
        <v>하급 도끼</v>
      </c>
      <c r="N37" s="52" t="str">
        <f>$H$29</f>
        <v>강타</v>
      </c>
    </row>
    <row r="38" spans="1:14" ht="17.649999999999999" thickTop="1" thickBot="1" x14ac:dyDescent="0.65">
      <c r="B38" s="5">
        <v>2</v>
      </c>
      <c r="C38" s="52" t="str">
        <f>$C$8</f>
        <v>메이지</v>
      </c>
      <c r="D38" s="52">
        <f>$E$15</f>
        <v>2</v>
      </c>
      <c r="E38" s="73">
        <f t="shared" si="0"/>
        <v>5</v>
      </c>
      <c r="F38" s="73">
        <f t="shared" si="0"/>
        <v>16</v>
      </c>
      <c r="G38" s="73">
        <f t="shared" si="0"/>
        <v>5</v>
      </c>
      <c r="H38" s="70">
        <f t="shared" si="1"/>
        <v>0.3</v>
      </c>
      <c r="I38" s="70">
        <f t="shared" si="1"/>
        <v>0.1</v>
      </c>
      <c r="J38" s="70">
        <f t="shared" si="1"/>
        <v>0.2</v>
      </c>
      <c r="K38" s="73">
        <f>SUM(N8,J23)</f>
        <v>3</v>
      </c>
      <c r="L38" s="52" t="str">
        <f>$E$30</f>
        <v>파이어볼</v>
      </c>
      <c r="M38" s="52" t="str">
        <f>$C$23</f>
        <v>하급 완드</v>
      </c>
      <c r="N38" s="52" t="str">
        <f>$H$30</f>
        <v>매직 미사일</v>
      </c>
    </row>
    <row r="39" spans="1:14" ht="17.649999999999999" thickTop="1" thickBot="1" x14ac:dyDescent="0.65">
      <c r="B39" s="5">
        <v>3</v>
      </c>
      <c r="C39" s="52" t="str">
        <f>$C$9</f>
        <v>아처</v>
      </c>
      <c r="D39" s="52">
        <f>$E$16</f>
        <v>3</v>
      </c>
      <c r="E39" s="73">
        <f t="shared" si="0"/>
        <v>10</v>
      </c>
      <c r="F39" s="73">
        <f t="shared" si="0"/>
        <v>17</v>
      </c>
      <c r="G39" s="73">
        <f t="shared" si="0"/>
        <v>4</v>
      </c>
      <c r="H39" s="70">
        <f t="shared" si="1"/>
        <v>0.2</v>
      </c>
      <c r="I39" s="70">
        <f t="shared" si="1"/>
        <v>0.05</v>
      </c>
      <c r="J39" s="70">
        <f t="shared" si="1"/>
        <v>0.1</v>
      </c>
      <c r="K39" s="73">
        <f>SUM(N9,J24)</f>
        <v>2</v>
      </c>
      <c r="L39" s="52" t="str">
        <f>$E$31</f>
        <v>정밀 사격</v>
      </c>
      <c r="M39" s="52" t="str">
        <f>$C$24</f>
        <v>하급 활</v>
      </c>
      <c r="N39" s="52" t="str">
        <f>$H$31</f>
        <v>정밀 조준</v>
      </c>
    </row>
    <row r="40" spans="1:14" ht="17.649999999999999" thickTop="1" thickBot="1" x14ac:dyDescent="0.65">
      <c r="B40" s="5">
        <v>4</v>
      </c>
      <c r="C40" s="52" t="str">
        <f>$C$10</f>
        <v>클레릭</v>
      </c>
      <c r="D40" s="52">
        <f>$E$17</f>
        <v>4</v>
      </c>
      <c r="E40" s="73">
        <f t="shared" si="0"/>
        <v>12</v>
      </c>
      <c r="F40" s="73">
        <f t="shared" si="0"/>
        <v>12</v>
      </c>
      <c r="G40" s="73">
        <f t="shared" si="0"/>
        <v>12</v>
      </c>
      <c r="H40" s="70">
        <f t="shared" si="1"/>
        <v>0.1</v>
      </c>
      <c r="I40" s="70">
        <f t="shared" si="1"/>
        <v>0.1</v>
      </c>
      <c r="J40" s="70">
        <f t="shared" si="1"/>
        <v>0.15</v>
      </c>
      <c r="K40" s="73">
        <f>SUM(N10,J25)</f>
        <v>2</v>
      </c>
      <c r="L40" s="52" t="str">
        <f>$E$32</f>
        <v>힐</v>
      </c>
      <c r="M40" s="52" t="str">
        <f>$C$25</f>
        <v>하급 스태프</v>
      </c>
      <c r="N40" s="52" t="str">
        <f>$H$32</f>
        <v>성광</v>
      </c>
    </row>
    <row r="41" spans="1:14" ht="17.25" thickTop="1" x14ac:dyDescent="0.6"/>
  </sheetData>
  <mergeCells count="2">
    <mergeCell ref="D20:J20"/>
    <mergeCell ref="E35:K35"/>
  </mergeCells>
  <phoneticPr fontId="4" type="noConversion"/>
  <dataValidations count="1">
    <dataValidation type="list" allowBlank="1" showInputMessage="1" showErrorMessage="1" sqref="E15:E17" xr:uid="{1B6ACAB1-73A7-4A80-AB9A-EC99CC3A5276}">
      <formula1>"1,2,3,4,5,6,7,8,9,10,11,12,13,14,15"</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9">
        <x14:dataValidation type="list" allowBlank="1" showInputMessage="1" showErrorMessage="1" xr:uid="{B01A7EA7-13B7-4265-AD45-312B64C00EEC}">
          <x14:formula1>
            <xm:f>'랭크별 스킬'!$M$5:$O$5</xm:f>
          </x14:formula1>
          <xm:sqref>C25</xm:sqref>
        </x14:dataValidation>
        <x14:dataValidation type="list" allowBlank="1" showInputMessage="1" showErrorMessage="1" xr:uid="{0389E5BE-1770-4FD2-879F-36BF98D03444}">
          <x14:formula1>
            <xm:f>'랭크별 스킬'!$M$4:$O$4</xm:f>
          </x14:formula1>
          <xm:sqref>C24</xm:sqref>
        </x14:dataValidation>
        <x14:dataValidation type="list" allowBlank="1" showInputMessage="1" showErrorMessage="1" xr:uid="{7944D6EA-0AB1-4B89-BA38-1BF8FFDFEAFC}">
          <x14:formula1>
            <xm:f>'랭크별 스킬'!$M$3:$O$3</xm:f>
          </x14:formula1>
          <xm:sqref>C23</xm:sqref>
        </x14:dataValidation>
        <x14:dataValidation type="list" allowBlank="1" showInputMessage="1" showErrorMessage="1" xr:uid="{B60EEDD6-AB29-4E54-A46E-B186DDC1EC7C}">
          <x14:formula1>
            <xm:f>'랭크별 스킬'!$M$2:$O$2</xm:f>
          </x14:formula1>
          <xm:sqref>C22</xm:sqref>
        </x14:dataValidation>
        <x14:dataValidation type="list" allowBlank="1" showInputMessage="1" showErrorMessage="1" xr:uid="{7505EA20-3177-4FD9-AC98-5EA8C33AE3F0}">
          <x14:formula1>
            <xm:f>'랭크별 스킬'!$C$5:$I$5</xm:f>
          </x14:formula1>
          <xm:sqref>E32</xm:sqref>
        </x14:dataValidation>
        <x14:dataValidation type="list" allowBlank="1" showInputMessage="1" showErrorMessage="1" xr:uid="{632241CE-23D0-43A7-AD1E-7D3F673599CB}">
          <x14:formula1>
            <xm:f>'랭크별 스킬'!$C$4:$I$4</xm:f>
          </x14:formula1>
          <xm:sqref>E31</xm:sqref>
        </x14:dataValidation>
        <x14:dataValidation type="list" allowBlank="1" showInputMessage="1" showErrorMessage="1" xr:uid="{92E6225F-4305-40DA-AB0E-D0CF7614F0F6}">
          <x14:formula1>
            <xm:f>'랭크별 스킬'!$C$3:$I$3</xm:f>
          </x14:formula1>
          <xm:sqref>E30</xm:sqref>
        </x14:dataValidation>
        <x14:dataValidation type="list" allowBlank="1" showInputMessage="1" showErrorMessage="1" xr:uid="{00183C6C-1489-4DC5-B7F2-11FB7E368012}">
          <x14:formula1>
            <xm:f>'랭크별 스킬'!$C$2:$I$2</xm:f>
          </x14:formula1>
          <xm:sqref>E29</xm:sqref>
        </x14:dataValidation>
        <x14:dataValidation type="list" allowBlank="1" showInputMessage="1" showErrorMessage="1" xr:uid="{DBA98208-9F3C-4D80-8CF3-E5C2DBA7700F}">
          <x14:formula1>
            <xm:f>'아군 유닛'!$B$3:$B$7</xm:f>
          </x14:formula1>
          <xm:sqref>C8:C10 E8:E10</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96B46-0194-4E63-B8F8-7513BFA97295}">
  <dimension ref="A2:O31"/>
  <sheetViews>
    <sheetView topLeftCell="A4" zoomScale="70" zoomScaleNormal="70" workbookViewId="0">
      <selection activeCell="C15" sqref="C15"/>
    </sheetView>
  </sheetViews>
  <sheetFormatPr defaultColWidth="8.6875" defaultRowHeight="16.899999999999999" x14ac:dyDescent="0.6"/>
  <cols>
    <col min="1" max="1" width="8.6875" style="16"/>
    <col min="2" max="2" width="20.5625" style="16" customWidth="1"/>
    <col min="3" max="3" width="22.5" style="16" bestFit="1" customWidth="1"/>
    <col min="4" max="12" width="20.5625" style="16" customWidth="1"/>
    <col min="13" max="13" width="13.75" style="16" bestFit="1" customWidth="1"/>
    <col min="14" max="14" width="17.75" style="16" bestFit="1" customWidth="1"/>
    <col min="15" max="15" width="18" style="16" bestFit="1" customWidth="1"/>
    <col min="16" max="16384" width="8.6875" style="16"/>
  </cols>
  <sheetData>
    <row r="2" spans="1:15" ht="34.9" x14ac:dyDescent="0.6">
      <c r="A2" s="86" t="s">
        <v>440</v>
      </c>
    </row>
    <row r="3" spans="1:15" ht="125.25" customHeight="1" x14ac:dyDescent="0.6">
      <c r="B3" s="118" t="s">
        <v>656</v>
      </c>
      <c r="C3" s="118"/>
      <c r="D3" s="118"/>
      <c r="E3" s="118"/>
      <c r="F3" s="118"/>
      <c r="G3" s="118"/>
      <c r="H3" s="118"/>
      <c r="I3" s="118"/>
    </row>
    <row r="4" spans="1:15" x14ac:dyDescent="0.6">
      <c r="C4" s="100"/>
      <c r="D4" s="100"/>
      <c r="E4" s="100"/>
      <c r="F4" s="100"/>
      <c r="G4" s="100"/>
      <c r="H4" s="100"/>
      <c r="I4" s="100"/>
    </row>
    <row r="5" spans="1:15" ht="34.9" x14ac:dyDescent="0.6">
      <c r="A5" s="86" t="s">
        <v>655</v>
      </c>
    </row>
    <row r="6" spans="1:15" ht="252" customHeight="1" x14ac:dyDescent="0.6">
      <c r="B6" s="118" t="s">
        <v>659</v>
      </c>
      <c r="C6" s="118"/>
      <c r="D6" s="118"/>
      <c r="E6" s="118"/>
      <c r="F6" s="118"/>
      <c r="G6" s="118"/>
      <c r="H6" s="118"/>
      <c r="I6" s="118"/>
    </row>
    <row r="8" spans="1:15" ht="34.9" x14ac:dyDescent="0.6">
      <c r="A8" s="86" t="s">
        <v>441</v>
      </c>
    </row>
    <row r="9" spans="1:15" x14ac:dyDescent="0.6">
      <c r="B9" s="126" t="s">
        <v>429</v>
      </c>
      <c r="C9" s="82" t="s">
        <v>430</v>
      </c>
    </row>
    <row r="10" spans="1:15" x14ac:dyDescent="0.6">
      <c r="B10" s="126"/>
      <c r="C10" s="83" t="s">
        <v>432</v>
      </c>
    </row>
    <row r="11" spans="1:15" ht="17.25" thickBot="1" x14ac:dyDescent="0.65">
      <c r="B11" s="126"/>
      <c r="C11" s="84" t="s">
        <v>431</v>
      </c>
      <c r="O11" s="91" t="s">
        <v>495</v>
      </c>
    </row>
    <row r="12" spans="1:15" ht="17.25" thickTop="1" x14ac:dyDescent="0.6">
      <c r="B12" s="126"/>
      <c r="C12" s="85" t="s">
        <v>433</v>
      </c>
      <c r="G12" s="123" t="s">
        <v>443</v>
      </c>
      <c r="H12" s="124"/>
      <c r="I12" s="124"/>
      <c r="J12" s="124"/>
      <c r="K12" s="124"/>
      <c r="L12" s="124"/>
      <c r="M12" s="125"/>
      <c r="O12" s="63">
        <v>2</v>
      </c>
    </row>
    <row r="13" spans="1:15" ht="33.75" x14ac:dyDescent="0.6">
      <c r="B13" s="79"/>
      <c r="C13" s="79" t="s">
        <v>652</v>
      </c>
      <c r="D13" s="79" t="s">
        <v>653</v>
      </c>
      <c r="E13" s="97" t="s">
        <v>657</v>
      </c>
      <c r="F13" s="78" t="s">
        <v>651</v>
      </c>
      <c r="G13" s="87" t="s">
        <v>446</v>
      </c>
      <c r="H13" s="87" t="s">
        <v>444</v>
      </c>
      <c r="I13" s="87" t="s">
        <v>445</v>
      </c>
      <c r="J13" s="88" t="s">
        <v>448</v>
      </c>
      <c r="K13" s="88" t="s">
        <v>447</v>
      </c>
      <c r="L13" s="88" t="s">
        <v>449</v>
      </c>
      <c r="M13" s="88" t="s">
        <v>658</v>
      </c>
      <c r="N13" s="79" t="s">
        <v>450</v>
      </c>
      <c r="O13" s="79" t="s">
        <v>452</v>
      </c>
    </row>
    <row r="14" spans="1:15" x14ac:dyDescent="0.6">
      <c r="B14" s="79" t="s">
        <v>442</v>
      </c>
      <c r="C14" s="63" t="s">
        <v>455</v>
      </c>
      <c r="D14" s="63">
        <v>1</v>
      </c>
      <c r="E14" s="113">
        <f>VLOOKUP(D14,'스탯 시뮬레이터'!E14:G14,3,FALSE)</f>
        <v>100</v>
      </c>
      <c r="F14" s="77">
        <v>100</v>
      </c>
      <c r="G14" s="51">
        <f>IFERROR(VLOOKUP($C14,'스탯 시뮬레이터'!$C$37:$K$37,COLUMN(A1)+2,FALSE),"")</f>
        <v>7</v>
      </c>
      <c r="H14" s="51">
        <f>IFERROR(VLOOKUP($C14,'스탯 시뮬레이터'!$C$37:$K$37,COLUMN(B1)+2,FALSE),"")</f>
        <v>8</v>
      </c>
      <c r="I14" s="51">
        <f>IFERROR(VLOOKUP($C14,'스탯 시뮬레이터'!$C$37:$K$37,COLUMN(C1)+2,FALSE),"")</f>
        <v>6</v>
      </c>
      <c r="J14" s="72">
        <f>IFERROR(VLOOKUP($C14,'스탯 시뮬레이터'!$C$37:$K$37,COLUMN(D1)+2,FALSE),"")</f>
        <v>0.1</v>
      </c>
      <c r="K14" s="72">
        <f>IFERROR(VLOOKUP($C14,'스탯 시뮬레이터'!$C$37:$K$37,COLUMN(E1)+2,FALSE),"")</f>
        <v>0.25</v>
      </c>
      <c r="L14" s="72">
        <f>IFERROR(VLOOKUP($C14,'스탯 시뮬레이터'!$C$37:$K$37,COLUMN(F1)+2,FALSE),"")</f>
        <v>0.1</v>
      </c>
      <c r="M14" s="51">
        <f>IFERROR(VLOOKUP($C14,'스탯 시뮬레이터'!$C$37:$K$37,COLUMN(G1)+2,FALSE),"")</f>
        <v>1</v>
      </c>
      <c r="N14" s="89">
        <v>1</v>
      </c>
      <c r="O14" s="67">
        <f>MAX(ROUND((H14-I15)*N14*F14/100, 0), O12)</f>
        <v>2</v>
      </c>
    </row>
    <row r="15" spans="1:15" x14ac:dyDescent="0.6">
      <c r="B15" s="79" t="s">
        <v>494</v>
      </c>
      <c r="C15" s="63" t="s">
        <v>661</v>
      </c>
      <c r="D15" s="90"/>
      <c r="E15" s="90"/>
      <c r="F15" s="90"/>
      <c r="G15" s="51">
        <f>IFERROR(VLOOKUP($C15,'적군 유닛'!$B$3:$J$5,COLUMN(A1)+2,FALSE),"")</f>
        <v>12</v>
      </c>
      <c r="H15" s="51">
        <f>IFERROR(VLOOKUP($C15,'적군 유닛'!$B$3:$J$5,COLUMN(B1)+2,FALSE),"")</f>
        <v>6</v>
      </c>
      <c r="I15" s="51">
        <f>IFERROR(VLOOKUP($C15,'적군 유닛'!$B$3:$J$5,COLUMN(C1)+2,FALSE),"")</f>
        <v>6</v>
      </c>
      <c r="J15" s="72">
        <f>IFERROR(VLOOKUP($C15,'적군 유닛'!$B$3:$J$5,COLUMN(D1)+2,FALSE),"")</f>
        <v>0.1</v>
      </c>
      <c r="K15" s="72">
        <f>IFERROR(VLOOKUP($C15,'적군 유닛'!$B$3:$J$5,COLUMN(E1)+2,FALSE),"")</f>
        <v>0.1</v>
      </c>
      <c r="L15" s="72">
        <f>IFERROR(VLOOKUP($C15,'적군 유닛'!$B$3:$J$5,COLUMN(F1)+2,FALSE),"")</f>
        <v>0.1</v>
      </c>
      <c r="M15" s="51">
        <f>IFERROR(VLOOKUP($C15,'적군 유닛'!$B$3:$J$5,COLUMN(G1)+2,FALSE),"")</f>
        <v>2</v>
      </c>
      <c r="N15" s="89">
        <v>1</v>
      </c>
      <c r="O15" s="67">
        <f>MAX(ROUND((H15-I14)*N15,0),O12)</f>
        <v>2</v>
      </c>
    </row>
    <row r="19" spans="2:4" ht="33.75" x14ac:dyDescent="0.6">
      <c r="B19" s="79" t="s">
        <v>451</v>
      </c>
      <c r="C19" s="78" t="s">
        <v>654</v>
      </c>
      <c r="D19" s="78" t="s">
        <v>453</v>
      </c>
    </row>
    <row r="20" spans="2:4" x14ac:dyDescent="0.6">
      <c r="B20" s="79">
        <v>0</v>
      </c>
      <c r="C20" s="8">
        <f>G14</f>
        <v>7</v>
      </c>
      <c r="D20" s="8">
        <f>G15</f>
        <v>12</v>
      </c>
    </row>
    <row r="21" spans="2:4" x14ac:dyDescent="0.6">
      <c r="B21" s="79">
        <v>1</v>
      </c>
      <c r="C21" s="8">
        <f>C20-$O$15</f>
        <v>5</v>
      </c>
      <c r="D21" s="8">
        <f>D20-$O$14</f>
        <v>10</v>
      </c>
    </row>
    <row r="22" spans="2:4" x14ac:dyDescent="0.6">
      <c r="B22" s="79">
        <v>2</v>
      </c>
      <c r="C22" s="8">
        <f t="shared" ref="C22:C30" si="0">C21-$O$15</f>
        <v>3</v>
      </c>
      <c r="D22" s="8">
        <f t="shared" ref="D22:D29" si="1">D21-$O$14</f>
        <v>8</v>
      </c>
    </row>
    <row r="23" spans="2:4" x14ac:dyDescent="0.6">
      <c r="B23" s="79">
        <v>3</v>
      </c>
      <c r="C23" s="8">
        <f t="shared" si="0"/>
        <v>1</v>
      </c>
      <c r="D23" s="8">
        <f t="shared" si="1"/>
        <v>6</v>
      </c>
    </row>
    <row r="24" spans="2:4" x14ac:dyDescent="0.6">
      <c r="B24" s="79">
        <v>4</v>
      </c>
      <c r="C24" s="8">
        <f t="shared" si="0"/>
        <v>-1</v>
      </c>
      <c r="D24" s="8">
        <f t="shared" si="1"/>
        <v>4</v>
      </c>
    </row>
    <row r="25" spans="2:4" x14ac:dyDescent="0.6">
      <c r="B25" s="79">
        <v>5</v>
      </c>
      <c r="C25" s="8">
        <f t="shared" si="0"/>
        <v>-3</v>
      </c>
      <c r="D25" s="8">
        <f t="shared" si="1"/>
        <v>2</v>
      </c>
    </row>
    <row r="26" spans="2:4" x14ac:dyDescent="0.6">
      <c r="B26" s="79">
        <v>6</v>
      </c>
      <c r="C26" s="8">
        <f t="shared" si="0"/>
        <v>-5</v>
      </c>
      <c r="D26" s="8">
        <f t="shared" si="1"/>
        <v>0</v>
      </c>
    </row>
    <row r="27" spans="2:4" x14ac:dyDescent="0.6">
      <c r="B27" s="79">
        <v>7</v>
      </c>
      <c r="C27" s="8">
        <f t="shared" si="0"/>
        <v>-7</v>
      </c>
      <c r="D27" s="8">
        <f t="shared" si="1"/>
        <v>-2</v>
      </c>
    </row>
    <row r="28" spans="2:4" x14ac:dyDescent="0.6">
      <c r="B28" s="79">
        <v>8</v>
      </c>
      <c r="C28" s="8">
        <f t="shared" si="0"/>
        <v>-9</v>
      </c>
      <c r="D28" s="8">
        <f t="shared" si="1"/>
        <v>-4</v>
      </c>
    </row>
    <row r="29" spans="2:4" x14ac:dyDescent="0.6">
      <c r="B29" s="79">
        <v>9</v>
      </c>
      <c r="C29" s="8">
        <f t="shared" si="0"/>
        <v>-11</v>
      </c>
      <c r="D29" s="8">
        <f t="shared" si="1"/>
        <v>-6</v>
      </c>
    </row>
    <row r="30" spans="2:4" x14ac:dyDescent="0.6">
      <c r="B30" s="79">
        <v>10</v>
      </c>
      <c r="C30" s="8">
        <f t="shared" si="0"/>
        <v>-13</v>
      </c>
      <c r="D30" s="8">
        <f>D29-$O$14</f>
        <v>-8</v>
      </c>
    </row>
    <row r="31" spans="2:4" x14ac:dyDescent="0.6">
      <c r="B31" s="67" t="s">
        <v>454</v>
      </c>
      <c r="C31" s="67">
        <f>COUNTIF(C20:C30,"&gt;0")+1</f>
        <v>5</v>
      </c>
      <c r="D31" s="67">
        <f>COUNTIF(D20:D30,"&gt;0")+1</f>
        <v>7</v>
      </c>
    </row>
  </sheetData>
  <mergeCells count="4">
    <mergeCell ref="B3:I3"/>
    <mergeCell ref="B9:B12"/>
    <mergeCell ref="G12:M12"/>
    <mergeCell ref="B6:I6"/>
  </mergeCells>
  <phoneticPr fontId="4" type="noConversion"/>
  <conditionalFormatting sqref="C20:D30">
    <cfRule type="cellIs" dxfId="1" priority="2" operator="lessThan">
      <formula>0</formula>
    </cfRule>
  </conditionalFormatting>
  <conditionalFormatting sqref="C31:D31">
    <cfRule type="cellIs" dxfId="0" priority="1" operator="lessThan">
      <formula>0</formula>
    </cfRule>
  </conditionalFormatting>
  <dataValidations count="3">
    <dataValidation type="list" allowBlank="1" showInputMessage="1" showErrorMessage="1" sqref="D14" xr:uid="{ED634D39-1DFF-4B36-BC81-3A8B5517F730}">
      <formula1>"1,2,3,4,5,6,7,8,9,10,11,12,13,14,15"</formula1>
    </dataValidation>
    <dataValidation type="list" allowBlank="1" showInputMessage="1" showErrorMessage="1" sqref="N14:N15" xr:uid="{80CF81A2-0654-4CF9-9551-9270E2231AA4}">
      <formula1>"0.8,1.0,1.2,1.5"</formula1>
    </dataValidation>
    <dataValidation type="whole" operator="lessThan" allowBlank="1" showInputMessage="1" showErrorMessage="1" sqref="F14" xr:uid="{8F611B39-9177-4878-8CDB-F8530395B927}">
      <formula1>E14</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D2F0DF62-9D9B-454C-93A3-1E7382067C64}">
          <x14:formula1>
            <xm:f>'아군 유닛'!$B$3:$B$7</xm:f>
          </x14:formula1>
          <xm:sqref>C14</xm:sqref>
        </x14:dataValidation>
        <x14:dataValidation type="list" allowBlank="1" showInputMessage="1" showErrorMessage="1" xr:uid="{C386E26C-528E-4FB3-8F62-1568CFFAAA64}">
          <x14:formula1>
            <xm:f>'적군 유닛'!$B$3:$B$5</xm:f>
          </x14:formula1>
          <xm:sqref>C15</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4E019-5C34-4D8E-8908-3BB36F3EC416}">
  <dimension ref="A1:O83"/>
  <sheetViews>
    <sheetView workbookViewId="0"/>
  </sheetViews>
  <sheetFormatPr defaultColWidth="8.5625" defaultRowHeight="16.899999999999999" x14ac:dyDescent="0.6"/>
  <cols>
    <col min="1" max="1" width="11.0625" style="16" bestFit="1" customWidth="1"/>
    <col min="2" max="2" width="9.0625" style="16" bestFit="1" customWidth="1"/>
    <col min="3" max="9" width="14.8125" style="16" bestFit="1" customWidth="1"/>
    <col min="10" max="11" width="8.5625" style="16"/>
    <col min="12" max="12" width="11.0625" style="16" bestFit="1" customWidth="1"/>
    <col min="13" max="15" width="14.8125" style="16" bestFit="1" customWidth="1"/>
    <col min="16" max="20" width="8.5625" style="16"/>
    <col min="21" max="21" width="7.3125" style="16" customWidth="1"/>
    <col min="22" max="22" width="29.8125" style="16" bestFit="1" customWidth="1"/>
    <col min="23" max="16384" width="8.5625" style="16"/>
  </cols>
  <sheetData>
    <row r="1" spans="1:15" x14ac:dyDescent="0.6">
      <c r="A1" s="5" t="s">
        <v>339</v>
      </c>
      <c r="B1" s="5" t="s">
        <v>629</v>
      </c>
      <c r="C1" s="5" t="s">
        <v>336</v>
      </c>
      <c r="D1" s="5" t="s">
        <v>337</v>
      </c>
      <c r="E1" s="5" t="s">
        <v>340</v>
      </c>
      <c r="F1" s="5" t="s">
        <v>341</v>
      </c>
      <c r="G1" s="5" t="s">
        <v>342</v>
      </c>
      <c r="H1" s="5" t="s">
        <v>343</v>
      </c>
      <c r="I1" s="5" t="s">
        <v>344</v>
      </c>
      <c r="L1" s="5" t="s">
        <v>339</v>
      </c>
      <c r="M1" s="5" t="s">
        <v>346</v>
      </c>
      <c r="N1" s="5" t="s">
        <v>347</v>
      </c>
      <c r="O1" s="5" t="s">
        <v>348</v>
      </c>
    </row>
    <row r="2" spans="1:15" x14ac:dyDescent="0.6">
      <c r="A2" s="8" t="str">
        <f>'스탯 시뮬레이터'!C7</f>
        <v>워리어</v>
      </c>
      <c r="B2" s="8">
        <f>'스탯 시뮬레이터'!E14</f>
        <v>1</v>
      </c>
      <c r="C2" s="8" t="str">
        <f>IFERROR(INDEX($C$8:$I$114,$J2,COLUMN(A1))&amp;"","")</f>
        <v>도발 베기</v>
      </c>
      <c r="D2" s="8" t="str">
        <f>IFERROR(INDEX($C$8:$I$114,$J2,COLUMN(B1))&amp;"","")</f>
        <v/>
      </c>
      <c r="E2" s="8" t="str">
        <f t="shared" ref="E2:I2" si="0">IFERROR(INDEX($C$8:$I$114,$J2,COLUMN(C1))&amp;"","")</f>
        <v/>
      </c>
      <c r="F2" s="8" t="str">
        <f t="shared" si="0"/>
        <v/>
      </c>
      <c r="G2" s="8" t="str">
        <f t="shared" si="0"/>
        <v/>
      </c>
      <c r="H2" s="8" t="str">
        <f t="shared" si="0"/>
        <v/>
      </c>
      <c r="I2" s="8" t="str">
        <f t="shared" si="0"/>
        <v/>
      </c>
      <c r="J2" s="16">
        <f t="array" ref="J2">MATCH(1,($A$8:$A$114=$A2)*($B$8:$B$114=$B2),0)</f>
        <v>1</v>
      </c>
      <c r="L2" s="8" t="str">
        <f>A2</f>
        <v>워리어</v>
      </c>
      <c r="M2" s="8" t="str">
        <f t="shared" ref="M2:O5" si="1">IFERROR(VLOOKUP($L2,$L$8:$O$12,COLUMN(A1)+1,FALSE),"")</f>
        <v>하급 도끼</v>
      </c>
      <c r="N2" s="8" t="str">
        <f t="shared" si="1"/>
        <v>중급 도끼</v>
      </c>
      <c r="O2" s="8" t="str">
        <f t="shared" si="1"/>
        <v>상급 도끼</v>
      </c>
    </row>
    <row r="3" spans="1:15" x14ac:dyDescent="0.6">
      <c r="A3" s="8" t="str">
        <f>'스탯 시뮬레이터'!C8</f>
        <v>메이지</v>
      </c>
      <c r="B3" s="8">
        <f>'스탯 시뮬레이터'!E15</f>
        <v>2</v>
      </c>
      <c r="C3" s="8" t="str">
        <f t="shared" ref="C3:C5" si="2">IFERROR(INDEX($C$8:$I$114,$J3,COLUMN(A2))&amp;"","")</f>
        <v>파이어볼</v>
      </c>
      <c r="D3" s="8" t="str">
        <f t="shared" ref="D3:D5" si="3">IFERROR(INDEX($C$8:$I$114,$J3,COLUMN(B2))&amp;"","")</f>
        <v/>
      </c>
      <c r="E3" s="8" t="str">
        <f t="shared" ref="E3:E5" si="4">IFERROR(INDEX($C$8:$I$114,$J3,COLUMN(C2))&amp;"","")</f>
        <v/>
      </c>
      <c r="F3" s="8" t="str">
        <f t="shared" ref="F3:F5" si="5">IFERROR(INDEX($C$8:$I$114,$J3,COLUMN(D2))&amp;"","")</f>
        <v/>
      </c>
      <c r="G3" s="8" t="str">
        <f t="shared" ref="G3:G5" si="6">IFERROR(INDEX($C$8:$I$114,$J3,COLUMN(E2))&amp;"","")</f>
        <v/>
      </c>
      <c r="H3" s="8" t="str">
        <f t="shared" ref="H3:H5" si="7">IFERROR(INDEX($C$8:$I$114,$J3,COLUMN(F2))&amp;"","")</f>
        <v/>
      </c>
      <c r="I3" s="8" t="str">
        <f t="shared" ref="I3:I5" si="8">IFERROR(INDEX($C$8:$I$114,$J3,COLUMN(G2))&amp;"","")</f>
        <v/>
      </c>
      <c r="J3" s="16">
        <f t="array" ref="J3">MATCH(1,($A$8:$A$114=$A3)*($B$8:$B$114=$B3),0)</f>
        <v>32</v>
      </c>
      <c r="L3" s="8" t="str">
        <f t="shared" ref="L3:L5" si="9">A3</f>
        <v>메이지</v>
      </c>
      <c r="M3" s="8" t="str">
        <f t="shared" si="1"/>
        <v>하급 완드</v>
      </c>
      <c r="N3" s="8" t="str">
        <f t="shared" si="1"/>
        <v>중급 완드</v>
      </c>
      <c r="O3" s="8" t="str">
        <f t="shared" si="1"/>
        <v>상급 완드</v>
      </c>
    </row>
    <row r="4" spans="1:15" x14ac:dyDescent="0.6">
      <c r="A4" s="8" t="str">
        <f>'스탯 시뮬레이터'!C9</f>
        <v>아처</v>
      </c>
      <c r="B4" s="8">
        <f>'스탯 시뮬레이터'!E16</f>
        <v>3</v>
      </c>
      <c r="C4" s="8" t="str">
        <f t="shared" si="2"/>
        <v>정밀 사격</v>
      </c>
      <c r="D4" s="8" t="str">
        <f t="shared" si="3"/>
        <v>전열 저격</v>
      </c>
      <c r="E4" s="8" t="str">
        <f t="shared" si="4"/>
        <v/>
      </c>
      <c r="F4" s="8" t="str">
        <f t="shared" si="5"/>
        <v/>
      </c>
      <c r="G4" s="8" t="str">
        <f t="shared" si="6"/>
        <v/>
      </c>
      <c r="H4" s="8" t="str">
        <f t="shared" si="7"/>
        <v/>
      </c>
      <c r="I4" s="8" t="str">
        <f t="shared" si="8"/>
        <v/>
      </c>
      <c r="J4" s="16">
        <f t="array" ref="J4">MATCH(1,($A$8:$A$114=$A4)*($B$8:$B$114=$B4),0)</f>
        <v>18</v>
      </c>
      <c r="L4" s="8" t="str">
        <f t="shared" si="9"/>
        <v>아처</v>
      </c>
      <c r="M4" s="8" t="str">
        <f t="shared" si="1"/>
        <v>하급 활</v>
      </c>
      <c r="N4" s="8" t="str">
        <f t="shared" si="1"/>
        <v>중급 활</v>
      </c>
      <c r="O4" s="8" t="str">
        <f t="shared" si="1"/>
        <v>상급 활</v>
      </c>
    </row>
    <row r="5" spans="1:15" x14ac:dyDescent="0.6">
      <c r="A5" s="8" t="str">
        <f>'스탯 시뮬레이터'!C10</f>
        <v>클레릭</v>
      </c>
      <c r="B5" s="8">
        <f>'스탯 시뮬레이터'!E17</f>
        <v>4</v>
      </c>
      <c r="C5" s="8" t="str">
        <f t="shared" si="2"/>
        <v>힐</v>
      </c>
      <c r="D5" s="8" t="str">
        <f t="shared" si="3"/>
        <v>신성탄</v>
      </c>
      <c r="E5" s="8" t="str">
        <f t="shared" si="4"/>
        <v/>
      </c>
      <c r="F5" s="8" t="str">
        <f t="shared" si="5"/>
        <v/>
      </c>
      <c r="G5" s="8" t="str">
        <f t="shared" si="6"/>
        <v/>
      </c>
      <c r="H5" s="8" t="str">
        <f t="shared" si="7"/>
        <v/>
      </c>
      <c r="I5" s="8" t="str">
        <f t="shared" si="8"/>
        <v/>
      </c>
      <c r="J5" s="16">
        <f t="array" ref="J5">MATCH(1,($A$8:$A$114=$A5)*($B$8:$B$114=$B5),0)</f>
        <v>49</v>
      </c>
      <c r="L5" s="8" t="str">
        <f t="shared" si="9"/>
        <v>클레릭</v>
      </c>
      <c r="M5" s="8" t="str">
        <f t="shared" si="1"/>
        <v>하급 스태프</v>
      </c>
      <c r="N5" s="8" t="str">
        <f t="shared" si="1"/>
        <v>중급 스태프</v>
      </c>
      <c r="O5" s="8" t="str">
        <f t="shared" si="1"/>
        <v>상급 스태프</v>
      </c>
    </row>
    <row r="7" spans="1:15" x14ac:dyDescent="0.6">
      <c r="A7" s="5" t="s">
        <v>147</v>
      </c>
      <c r="B7" s="97" t="s">
        <v>629</v>
      </c>
      <c r="C7" s="5" t="s">
        <v>336</v>
      </c>
      <c r="D7" s="5" t="s">
        <v>337</v>
      </c>
      <c r="E7" s="5" t="s">
        <v>340</v>
      </c>
      <c r="F7" s="5" t="s">
        <v>341</v>
      </c>
      <c r="G7" s="5" t="s">
        <v>342</v>
      </c>
      <c r="H7" s="5" t="s">
        <v>343</v>
      </c>
      <c r="I7" s="5" t="s">
        <v>344</v>
      </c>
      <c r="L7" s="5" t="s">
        <v>339</v>
      </c>
      <c r="M7" s="5" t="s">
        <v>346</v>
      </c>
      <c r="N7" s="5" t="s">
        <v>347</v>
      </c>
      <c r="O7" s="5" t="s">
        <v>348</v>
      </c>
    </row>
    <row r="8" spans="1:15" x14ac:dyDescent="0.6">
      <c r="A8" s="48" t="s">
        <v>466</v>
      </c>
      <c r="B8" s="48">
        <v>1</v>
      </c>
      <c r="C8" s="48" t="s">
        <v>13</v>
      </c>
      <c r="D8" s="8"/>
      <c r="E8" s="8"/>
      <c r="F8" s="8"/>
      <c r="G8" s="8"/>
      <c r="H8" s="8"/>
      <c r="I8" s="8"/>
      <c r="L8" s="8" t="s">
        <v>455</v>
      </c>
      <c r="M8" s="8" t="s">
        <v>460</v>
      </c>
      <c r="N8" s="8" t="s">
        <v>461</v>
      </c>
      <c r="O8" s="8" t="s">
        <v>462</v>
      </c>
    </row>
    <row r="9" spans="1:15" x14ac:dyDescent="0.6">
      <c r="A9" s="8" t="s">
        <v>455</v>
      </c>
      <c r="B9" s="8">
        <v>2</v>
      </c>
      <c r="C9" s="8" t="s">
        <v>13</v>
      </c>
      <c r="D9" s="8"/>
      <c r="E9" s="8"/>
      <c r="F9" s="8"/>
      <c r="G9" s="8"/>
      <c r="H9" s="8"/>
      <c r="I9" s="8"/>
      <c r="L9" s="8" t="s">
        <v>456</v>
      </c>
      <c r="M9" s="8" t="s">
        <v>349</v>
      </c>
      <c r="N9" s="8" t="s">
        <v>299</v>
      </c>
      <c r="O9" s="8" t="s">
        <v>301</v>
      </c>
    </row>
    <row r="10" spans="1:15" x14ac:dyDescent="0.6">
      <c r="A10" s="48" t="s">
        <v>455</v>
      </c>
      <c r="B10" s="48">
        <v>3</v>
      </c>
      <c r="C10" s="48" t="s">
        <v>13</v>
      </c>
      <c r="D10" s="48" t="s">
        <v>338</v>
      </c>
      <c r="E10" s="48"/>
      <c r="F10" s="48"/>
      <c r="G10" s="48"/>
      <c r="H10" s="48"/>
      <c r="I10" s="48"/>
      <c r="L10" s="8" t="s">
        <v>457</v>
      </c>
      <c r="M10" s="8" t="s">
        <v>350</v>
      </c>
      <c r="N10" s="8" t="s">
        <v>311</v>
      </c>
      <c r="O10" s="8" t="s">
        <v>313</v>
      </c>
    </row>
    <row r="11" spans="1:15" x14ac:dyDescent="0.6">
      <c r="A11" s="8" t="s">
        <v>455</v>
      </c>
      <c r="B11" s="8">
        <v>4</v>
      </c>
      <c r="C11" s="8" t="s">
        <v>13</v>
      </c>
      <c r="D11" s="8" t="s">
        <v>338</v>
      </c>
      <c r="E11" s="8"/>
      <c r="F11" s="8"/>
      <c r="G11" s="8"/>
      <c r="H11" s="8"/>
      <c r="I11" s="8"/>
      <c r="L11" s="8" t="s">
        <v>458</v>
      </c>
      <c r="M11" s="8" t="s">
        <v>306</v>
      </c>
      <c r="N11" s="8" t="s">
        <v>307</v>
      </c>
      <c r="O11" s="8" t="s">
        <v>309</v>
      </c>
    </row>
    <row r="12" spans="1:15" x14ac:dyDescent="0.6">
      <c r="A12" s="48" t="s">
        <v>455</v>
      </c>
      <c r="B12" s="48">
        <v>5</v>
      </c>
      <c r="C12" s="48" t="s">
        <v>13</v>
      </c>
      <c r="D12" s="48" t="s">
        <v>338</v>
      </c>
      <c r="E12" s="48" t="s">
        <v>46</v>
      </c>
      <c r="F12" s="48"/>
      <c r="G12" s="48"/>
      <c r="H12" s="48"/>
      <c r="I12" s="48"/>
      <c r="L12" s="8" t="s">
        <v>459</v>
      </c>
      <c r="M12" s="8" t="s">
        <v>296</v>
      </c>
      <c r="N12" s="8" t="s">
        <v>472</v>
      </c>
      <c r="O12" s="8" t="s">
        <v>473</v>
      </c>
    </row>
    <row r="13" spans="1:15" x14ac:dyDescent="0.6">
      <c r="A13" s="8" t="s">
        <v>455</v>
      </c>
      <c r="B13" s="8">
        <v>6</v>
      </c>
      <c r="C13" s="8" t="s">
        <v>13</v>
      </c>
      <c r="D13" s="8" t="s">
        <v>338</v>
      </c>
      <c r="E13" s="8" t="s">
        <v>46</v>
      </c>
      <c r="F13" s="8"/>
      <c r="G13" s="8"/>
      <c r="H13" s="8"/>
      <c r="I13" s="8"/>
    </row>
    <row r="14" spans="1:15" x14ac:dyDescent="0.6">
      <c r="A14" s="48" t="s">
        <v>455</v>
      </c>
      <c r="B14" s="48">
        <v>7</v>
      </c>
      <c r="C14" s="48" t="s">
        <v>13</v>
      </c>
      <c r="D14" s="48" t="s">
        <v>338</v>
      </c>
      <c r="E14" s="48" t="s">
        <v>46</v>
      </c>
      <c r="F14" s="48" t="s">
        <v>47</v>
      </c>
      <c r="G14" s="48"/>
      <c r="H14" s="48"/>
      <c r="I14" s="48"/>
      <c r="L14" s="74" t="s">
        <v>628</v>
      </c>
      <c r="M14" s="74" t="s">
        <v>627</v>
      </c>
    </row>
    <row r="15" spans="1:15" x14ac:dyDescent="0.6">
      <c r="A15" s="8" t="s">
        <v>455</v>
      </c>
      <c r="B15" s="8">
        <v>8</v>
      </c>
      <c r="C15" s="8" t="s">
        <v>13</v>
      </c>
      <c r="D15" s="8" t="s">
        <v>338</v>
      </c>
      <c r="E15" s="8" t="s">
        <v>46</v>
      </c>
      <c r="F15" s="8" t="s">
        <v>47</v>
      </c>
      <c r="G15" s="8"/>
      <c r="H15" s="8"/>
      <c r="I15" s="8"/>
      <c r="L15" s="80">
        <v>1</v>
      </c>
      <c r="M15" s="80">
        <v>100</v>
      </c>
    </row>
    <row r="16" spans="1:15" x14ac:dyDescent="0.6">
      <c r="A16" s="8" t="s">
        <v>455</v>
      </c>
      <c r="B16" s="8">
        <v>9</v>
      </c>
      <c r="C16" s="8" t="s">
        <v>13</v>
      </c>
      <c r="D16" s="8" t="s">
        <v>338</v>
      </c>
      <c r="E16" s="8" t="s">
        <v>46</v>
      </c>
      <c r="F16" s="8" t="s">
        <v>47</v>
      </c>
      <c r="G16" s="8"/>
      <c r="H16" s="8"/>
      <c r="I16" s="8"/>
      <c r="L16" s="81">
        <v>2</v>
      </c>
      <c r="M16" s="81">
        <v>110</v>
      </c>
    </row>
    <row r="17" spans="1:13" x14ac:dyDescent="0.6">
      <c r="A17" s="48" t="s">
        <v>455</v>
      </c>
      <c r="B17" s="48">
        <v>10</v>
      </c>
      <c r="C17" s="48" t="s">
        <v>13</v>
      </c>
      <c r="D17" s="48" t="s">
        <v>338</v>
      </c>
      <c r="E17" s="48" t="s">
        <v>46</v>
      </c>
      <c r="F17" s="48" t="s">
        <v>47</v>
      </c>
      <c r="G17" s="48" t="s">
        <v>48</v>
      </c>
      <c r="H17" s="48"/>
      <c r="I17" s="48"/>
      <c r="L17" s="80">
        <v>3</v>
      </c>
      <c r="M17" s="80">
        <v>110</v>
      </c>
    </row>
    <row r="18" spans="1:13" x14ac:dyDescent="0.6">
      <c r="A18" s="8" t="s">
        <v>455</v>
      </c>
      <c r="B18" s="8">
        <v>11</v>
      </c>
      <c r="C18" s="8" t="s">
        <v>13</v>
      </c>
      <c r="D18" s="8" t="s">
        <v>338</v>
      </c>
      <c r="E18" s="8" t="s">
        <v>46</v>
      </c>
      <c r="F18" s="8" t="s">
        <v>47</v>
      </c>
      <c r="G18" s="8" t="s">
        <v>48</v>
      </c>
      <c r="H18" s="8"/>
      <c r="I18" s="8"/>
      <c r="L18" s="81">
        <v>4</v>
      </c>
      <c r="M18" s="80">
        <v>120</v>
      </c>
    </row>
    <row r="19" spans="1:13" x14ac:dyDescent="0.6">
      <c r="A19" s="48" t="s">
        <v>455</v>
      </c>
      <c r="B19" s="48">
        <v>12</v>
      </c>
      <c r="C19" s="48" t="s">
        <v>13</v>
      </c>
      <c r="D19" s="48" t="s">
        <v>338</v>
      </c>
      <c r="E19" s="48" t="s">
        <v>46</v>
      </c>
      <c r="F19" s="48" t="s">
        <v>47</v>
      </c>
      <c r="G19" s="48" t="s">
        <v>48</v>
      </c>
      <c r="H19" s="48" t="s">
        <v>49</v>
      </c>
      <c r="I19" s="48"/>
      <c r="L19" s="80">
        <v>5</v>
      </c>
      <c r="M19" s="80">
        <v>120</v>
      </c>
    </row>
    <row r="20" spans="1:13" x14ac:dyDescent="0.6">
      <c r="A20" s="8" t="s">
        <v>455</v>
      </c>
      <c r="B20" s="8">
        <v>13</v>
      </c>
      <c r="C20" s="8" t="s">
        <v>13</v>
      </c>
      <c r="D20" s="8" t="s">
        <v>338</v>
      </c>
      <c r="E20" s="8" t="s">
        <v>46</v>
      </c>
      <c r="F20" s="8" t="s">
        <v>47</v>
      </c>
      <c r="G20" s="8" t="s">
        <v>48</v>
      </c>
      <c r="H20" s="8" t="s">
        <v>49</v>
      </c>
      <c r="I20" s="8"/>
      <c r="L20" s="81">
        <v>6</v>
      </c>
      <c r="M20" s="81">
        <v>130</v>
      </c>
    </row>
    <row r="21" spans="1:13" x14ac:dyDescent="0.6">
      <c r="A21" s="8" t="s">
        <v>455</v>
      </c>
      <c r="B21" s="8">
        <v>14</v>
      </c>
      <c r="C21" s="8" t="s">
        <v>13</v>
      </c>
      <c r="D21" s="8" t="s">
        <v>338</v>
      </c>
      <c r="E21" s="8" t="s">
        <v>46</v>
      </c>
      <c r="F21" s="8" t="s">
        <v>47</v>
      </c>
      <c r="G21" s="8" t="s">
        <v>48</v>
      </c>
      <c r="H21" s="8" t="s">
        <v>49</v>
      </c>
      <c r="I21" s="8"/>
      <c r="L21" s="80">
        <v>7</v>
      </c>
      <c r="M21" s="80">
        <v>130</v>
      </c>
    </row>
    <row r="22" spans="1:13" ht="17.25" thickBot="1" x14ac:dyDescent="0.65">
      <c r="A22" s="48" t="s">
        <v>455</v>
      </c>
      <c r="B22" s="48">
        <v>15</v>
      </c>
      <c r="C22" s="48" t="s">
        <v>13</v>
      </c>
      <c r="D22" s="48" t="s">
        <v>338</v>
      </c>
      <c r="E22" s="48" t="s">
        <v>46</v>
      </c>
      <c r="F22" s="48" t="s">
        <v>47</v>
      </c>
      <c r="G22" s="48" t="s">
        <v>48</v>
      </c>
      <c r="H22" s="48" t="s">
        <v>49</v>
      </c>
      <c r="I22" s="48" t="s">
        <v>42</v>
      </c>
      <c r="L22" s="81">
        <v>8</v>
      </c>
      <c r="M22" s="81">
        <v>140</v>
      </c>
    </row>
    <row r="23" spans="1:13" ht="17.649999999999999" thickTop="1" thickBot="1" x14ac:dyDescent="0.65">
      <c r="A23" s="52" t="s">
        <v>456</v>
      </c>
      <c r="B23" s="52">
        <v>1</v>
      </c>
      <c r="C23" s="52" t="s">
        <v>14</v>
      </c>
      <c r="D23" s="52"/>
      <c r="E23" s="52"/>
      <c r="F23" s="52"/>
      <c r="G23" s="52"/>
      <c r="H23" s="52"/>
      <c r="I23" s="52"/>
      <c r="L23" s="80">
        <v>9</v>
      </c>
      <c r="M23" s="81">
        <v>150</v>
      </c>
    </row>
    <row r="24" spans="1:13" ht="17.649999999999999" thickTop="1" thickBot="1" x14ac:dyDescent="0.65">
      <c r="A24" s="10" t="s">
        <v>456</v>
      </c>
      <c r="B24" s="10">
        <v>2</v>
      </c>
      <c r="C24" s="10" t="s">
        <v>14</v>
      </c>
      <c r="D24" s="10"/>
      <c r="E24" s="10"/>
      <c r="F24" s="10"/>
      <c r="G24" s="10"/>
      <c r="H24" s="10"/>
      <c r="I24" s="10"/>
      <c r="L24" s="81">
        <v>10</v>
      </c>
      <c r="M24" s="80">
        <v>150</v>
      </c>
    </row>
    <row r="25" spans="1:13" ht="17.649999999999999" thickTop="1" thickBot="1" x14ac:dyDescent="0.65">
      <c r="A25" s="52" t="s">
        <v>456</v>
      </c>
      <c r="B25" s="52">
        <v>3</v>
      </c>
      <c r="C25" s="52" t="s">
        <v>14</v>
      </c>
      <c r="D25" s="52" t="s">
        <v>55</v>
      </c>
      <c r="E25" s="10"/>
      <c r="F25" s="10"/>
      <c r="G25" s="10"/>
      <c r="H25" s="10"/>
      <c r="I25" s="10"/>
      <c r="L25" s="80">
        <v>11</v>
      </c>
      <c r="M25" s="81">
        <v>160</v>
      </c>
    </row>
    <row r="26" spans="1:13" ht="17.649999999999999" thickTop="1" thickBot="1" x14ac:dyDescent="0.65">
      <c r="A26" s="10" t="s">
        <v>456</v>
      </c>
      <c r="B26" s="10">
        <v>4</v>
      </c>
      <c r="C26" s="10" t="s">
        <v>14</v>
      </c>
      <c r="D26" s="10" t="s">
        <v>55</v>
      </c>
      <c r="E26" s="10"/>
      <c r="F26" s="10"/>
      <c r="G26" s="10"/>
      <c r="H26" s="10"/>
      <c r="I26" s="10"/>
      <c r="L26" s="81">
        <v>12</v>
      </c>
      <c r="M26" s="80">
        <v>160</v>
      </c>
    </row>
    <row r="27" spans="1:13" ht="17.649999999999999" thickTop="1" thickBot="1" x14ac:dyDescent="0.65">
      <c r="A27" s="52" t="s">
        <v>456</v>
      </c>
      <c r="B27" s="52">
        <v>5</v>
      </c>
      <c r="C27" s="52" t="s">
        <v>14</v>
      </c>
      <c r="D27" s="52" t="s">
        <v>55</v>
      </c>
      <c r="E27" s="52" t="s">
        <v>61</v>
      </c>
      <c r="F27" s="10"/>
      <c r="G27" s="10"/>
      <c r="H27" s="10"/>
      <c r="I27" s="10"/>
      <c r="L27" s="80">
        <v>13</v>
      </c>
      <c r="M27" s="81">
        <v>180</v>
      </c>
    </row>
    <row r="28" spans="1:13" ht="17.649999999999999" thickTop="1" thickBot="1" x14ac:dyDescent="0.65">
      <c r="A28" s="10" t="s">
        <v>456</v>
      </c>
      <c r="B28" s="10">
        <v>6</v>
      </c>
      <c r="C28" s="10" t="s">
        <v>14</v>
      </c>
      <c r="D28" s="10" t="s">
        <v>55</v>
      </c>
      <c r="E28" s="10" t="s">
        <v>61</v>
      </c>
      <c r="F28" s="10"/>
      <c r="G28" s="10"/>
      <c r="H28" s="10"/>
      <c r="I28" s="10"/>
      <c r="L28" s="81">
        <v>14</v>
      </c>
      <c r="M28" s="81">
        <v>200</v>
      </c>
    </row>
    <row r="29" spans="1:13" ht="17.649999999999999" thickTop="1" thickBot="1" x14ac:dyDescent="0.65">
      <c r="A29" s="52" t="s">
        <v>456</v>
      </c>
      <c r="B29" s="52">
        <v>7</v>
      </c>
      <c r="C29" s="52" t="s">
        <v>14</v>
      </c>
      <c r="D29" s="52" t="s">
        <v>55</v>
      </c>
      <c r="E29" s="52" t="s">
        <v>61</v>
      </c>
      <c r="F29" s="52" t="s">
        <v>15</v>
      </c>
      <c r="G29" s="10"/>
      <c r="H29" s="10"/>
      <c r="I29" s="10"/>
      <c r="L29" s="80">
        <v>15</v>
      </c>
      <c r="M29" s="80">
        <v>200</v>
      </c>
    </row>
    <row r="30" spans="1:13" ht="17.25" thickTop="1" x14ac:dyDescent="0.6">
      <c r="A30" s="10" t="s">
        <v>456</v>
      </c>
      <c r="B30" s="10">
        <v>8</v>
      </c>
      <c r="C30" s="10" t="s">
        <v>14</v>
      </c>
      <c r="D30" s="10" t="s">
        <v>55</v>
      </c>
      <c r="E30" s="10" t="s">
        <v>61</v>
      </c>
      <c r="F30" s="10" t="s">
        <v>15</v>
      </c>
      <c r="G30" s="10"/>
      <c r="H30" s="10"/>
      <c r="I30" s="10"/>
    </row>
    <row r="31" spans="1:13" ht="17.25" thickBot="1" x14ac:dyDescent="0.65">
      <c r="A31" s="10" t="s">
        <v>456</v>
      </c>
      <c r="B31" s="10">
        <v>9</v>
      </c>
      <c r="C31" s="10" t="s">
        <v>14</v>
      </c>
      <c r="D31" s="10" t="s">
        <v>55</v>
      </c>
      <c r="E31" s="10" t="s">
        <v>61</v>
      </c>
      <c r="F31" s="10" t="s">
        <v>15</v>
      </c>
      <c r="G31" s="10"/>
      <c r="H31" s="10"/>
      <c r="I31" s="10"/>
    </row>
    <row r="32" spans="1:13" ht="17.649999999999999" thickTop="1" thickBot="1" x14ac:dyDescent="0.65">
      <c r="A32" s="52" t="s">
        <v>456</v>
      </c>
      <c r="B32" s="52">
        <v>10</v>
      </c>
      <c r="C32" s="52" t="s">
        <v>14</v>
      </c>
      <c r="D32" s="52" t="s">
        <v>55</v>
      </c>
      <c r="E32" s="52" t="s">
        <v>61</v>
      </c>
      <c r="F32" s="52" t="s">
        <v>15</v>
      </c>
      <c r="G32" s="52" t="s">
        <v>56</v>
      </c>
      <c r="H32" s="10"/>
      <c r="I32" s="10"/>
    </row>
    <row r="33" spans="1:9" ht="17.649999999999999" thickTop="1" thickBot="1" x14ac:dyDescent="0.65">
      <c r="A33" s="10" t="s">
        <v>456</v>
      </c>
      <c r="B33" s="10">
        <v>11</v>
      </c>
      <c r="C33" s="10" t="s">
        <v>14</v>
      </c>
      <c r="D33" s="10" t="s">
        <v>55</v>
      </c>
      <c r="E33" s="10" t="s">
        <v>61</v>
      </c>
      <c r="F33" s="10" t="s">
        <v>15</v>
      </c>
      <c r="G33" s="10" t="s">
        <v>56</v>
      </c>
      <c r="H33" s="10"/>
      <c r="I33" s="10"/>
    </row>
    <row r="34" spans="1:9" ht="17.649999999999999" thickTop="1" thickBot="1" x14ac:dyDescent="0.65">
      <c r="A34" s="52" t="s">
        <v>456</v>
      </c>
      <c r="B34" s="52">
        <v>12</v>
      </c>
      <c r="C34" s="52" t="s">
        <v>14</v>
      </c>
      <c r="D34" s="52" t="s">
        <v>55</v>
      </c>
      <c r="E34" s="52" t="s">
        <v>61</v>
      </c>
      <c r="F34" s="52" t="s">
        <v>15</v>
      </c>
      <c r="G34" s="52" t="s">
        <v>56</v>
      </c>
      <c r="H34" s="52" t="s">
        <v>57</v>
      </c>
      <c r="I34" s="10"/>
    </row>
    <row r="35" spans="1:9" ht="17.25" thickTop="1" x14ac:dyDescent="0.6">
      <c r="A35" s="10" t="s">
        <v>456</v>
      </c>
      <c r="B35" s="10">
        <v>13</v>
      </c>
      <c r="C35" s="10" t="s">
        <v>14</v>
      </c>
      <c r="D35" s="10" t="s">
        <v>55</v>
      </c>
      <c r="E35" s="10" t="s">
        <v>61</v>
      </c>
      <c r="F35" s="10" t="s">
        <v>15</v>
      </c>
      <c r="G35" s="10" t="s">
        <v>56</v>
      </c>
      <c r="H35" s="10" t="s">
        <v>57</v>
      </c>
      <c r="I35" s="10"/>
    </row>
    <row r="36" spans="1:9" ht="17.25" thickBot="1" x14ac:dyDescent="0.65">
      <c r="A36" s="10" t="s">
        <v>456</v>
      </c>
      <c r="B36" s="10">
        <v>14</v>
      </c>
      <c r="C36" s="10" t="s">
        <v>14</v>
      </c>
      <c r="D36" s="10" t="s">
        <v>55</v>
      </c>
      <c r="E36" s="10" t="s">
        <v>61</v>
      </c>
      <c r="F36" s="10" t="s">
        <v>15</v>
      </c>
      <c r="G36" s="10" t="s">
        <v>56</v>
      </c>
      <c r="H36" s="10" t="s">
        <v>57</v>
      </c>
      <c r="I36" s="10"/>
    </row>
    <row r="37" spans="1:9" ht="17.649999999999999" thickTop="1" thickBot="1" x14ac:dyDescent="0.65">
      <c r="A37" s="52" t="s">
        <v>456</v>
      </c>
      <c r="B37" s="52">
        <v>15</v>
      </c>
      <c r="C37" s="52" t="s">
        <v>14</v>
      </c>
      <c r="D37" s="52" t="s">
        <v>55</v>
      </c>
      <c r="E37" s="52" t="s">
        <v>61</v>
      </c>
      <c r="F37" s="52" t="s">
        <v>15</v>
      </c>
      <c r="G37" s="52" t="s">
        <v>56</v>
      </c>
      <c r="H37" s="52" t="s">
        <v>57</v>
      </c>
      <c r="I37" s="52" t="s">
        <v>63</v>
      </c>
    </row>
    <row r="38" spans="1:9" ht="17.25" thickTop="1" x14ac:dyDescent="0.6">
      <c r="A38" s="48" t="s">
        <v>457</v>
      </c>
      <c r="B38" s="48">
        <v>1</v>
      </c>
      <c r="C38" s="48" t="s">
        <v>67</v>
      </c>
      <c r="D38" s="8"/>
      <c r="E38" s="8"/>
      <c r="F38" s="8"/>
      <c r="G38" s="8"/>
      <c r="H38" s="8"/>
      <c r="I38" s="8"/>
    </row>
    <row r="39" spans="1:9" x14ac:dyDescent="0.6">
      <c r="A39" s="8" t="s">
        <v>457</v>
      </c>
      <c r="B39" s="8">
        <v>2</v>
      </c>
      <c r="C39" s="8" t="s">
        <v>67</v>
      </c>
      <c r="D39" s="8"/>
      <c r="E39" s="8"/>
      <c r="F39" s="8"/>
      <c r="G39" s="8"/>
      <c r="H39" s="8"/>
      <c r="I39" s="8"/>
    </row>
    <row r="40" spans="1:9" x14ac:dyDescent="0.6">
      <c r="A40" s="48" t="s">
        <v>457</v>
      </c>
      <c r="B40" s="48">
        <v>3</v>
      </c>
      <c r="C40" s="48" t="s">
        <v>67</v>
      </c>
      <c r="D40" s="48" t="s">
        <v>68</v>
      </c>
      <c r="E40" s="8"/>
      <c r="F40" s="8"/>
      <c r="G40" s="8"/>
      <c r="H40" s="8"/>
      <c r="I40" s="8"/>
    </row>
    <row r="41" spans="1:9" x14ac:dyDescent="0.6">
      <c r="A41" s="8" t="s">
        <v>457</v>
      </c>
      <c r="B41" s="8">
        <v>4</v>
      </c>
      <c r="C41" s="8" t="s">
        <v>67</v>
      </c>
      <c r="D41" s="8" t="s">
        <v>68</v>
      </c>
      <c r="E41" s="8"/>
      <c r="F41" s="8"/>
      <c r="G41" s="8"/>
      <c r="H41" s="8"/>
      <c r="I41" s="8"/>
    </row>
    <row r="42" spans="1:9" x14ac:dyDescent="0.6">
      <c r="A42" s="48" t="s">
        <v>457</v>
      </c>
      <c r="B42" s="48">
        <v>5</v>
      </c>
      <c r="C42" s="48" t="s">
        <v>67</v>
      </c>
      <c r="D42" s="48" t="s">
        <v>68</v>
      </c>
      <c r="E42" s="48" t="s">
        <v>70</v>
      </c>
      <c r="F42" s="8"/>
      <c r="G42" s="8"/>
      <c r="H42" s="8"/>
      <c r="I42" s="8"/>
    </row>
    <row r="43" spans="1:9" x14ac:dyDescent="0.6">
      <c r="A43" s="8" t="s">
        <v>457</v>
      </c>
      <c r="B43" s="8">
        <v>6</v>
      </c>
      <c r="C43" s="8" t="s">
        <v>67</v>
      </c>
      <c r="D43" s="8" t="s">
        <v>68</v>
      </c>
      <c r="E43" s="8" t="s">
        <v>70</v>
      </c>
      <c r="F43" s="8"/>
      <c r="G43" s="8"/>
      <c r="H43" s="8"/>
      <c r="I43" s="8"/>
    </row>
    <row r="44" spans="1:9" x14ac:dyDescent="0.6">
      <c r="A44" s="48" t="s">
        <v>457</v>
      </c>
      <c r="B44" s="48">
        <v>7</v>
      </c>
      <c r="C44" s="48" t="s">
        <v>67</v>
      </c>
      <c r="D44" s="48" t="s">
        <v>68</v>
      </c>
      <c r="E44" s="48" t="s">
        <v>70</v>
      </c>
      <c r="F44" s="48" t="s">
        <v>69</v>
      </c>
      <c r="G44" s="8"/>
      <c r="H44" s="8"/>
      <c r="I44" s="8"/>
    </row>
    <row r="45" spans="1:9" x14ac:dyDescent="0.6">
      <c r="A45" s="8" t="s">
        <v>457</v>
      </c>
      <c r="B45" s="8">
        <v>8</v>
      </c>
      <c r="C45" s="8" t="s">
        <v>67</v>
      </c>
      <c r="D45" s="8" t="s">
        <v>68</v>
      </c>
      <c r="E45" s="8" t="s">
        <v>70</v>
      </c>
      <c r="F45" s="8" t="s">
        <v>69</v>
      </c>
      <c r="G45" s="8"/>
      <c r="H45" s="8"/>
      <c r="I45" s="8"/>
    </row>
    <row r="46" spans="1:9" x14ac:dyDescent="0.6">
      <c r="A46" s="8" t="s">
        <v>457</v>
      </c>
      <c r="B46" s="8">
        <v>9</v>
      </c>
      <c r="C46" s="8" t="s">
        <v>67</v>
      </c>
      <c r="D46" s="8" t="s">
        <v>68</v>
      </c>
      <c r="E46" s="8" t="s">
        <v>70</v>
      </c>
      <c r="F46" s="8" t="s">
        <v>69</v>
      </c>
      <c r="G46" s="8"/>
      <c r="H46" s="8"/>
      <c r="I46" s="8"/>
    </row>
    <row r="47" spans="1:9" x14ac:dyDescent="0.6">
      <c r="A47" s="48" t="s">
        <v>457</v>
      </c>
      <c r="B47" s="48">
        <v>10</v>
      </c>
      <c r="C47" s="48" t="s">
        <v>67</v>
      </c>
      <c r="D47" s="48" t="s">
        <v>68</v>
      </c>
      <c r="E47" s="48" t="s">
        <v>70</v>
      </c>
      <c r="F47" s="48" t="s">
        <v>69</v>
      </c>
      <c r="G47" s="48" t="s">
        <v>43</v>
      </c>
      <c r="H47" s="8"/>
      <c r="I47" s="8"/>
    </row>
    <row r="48" spans="1:9" x14ac:dyDescent="0.6">
      <c r="A48" s="8" t="s">
        <v>457</v>
      </c>
      <c r="B48" s="8">
        <v>11</v>
      </c>
      <c r="C48" s="8" t="s">
        <v>67</v>
      </c>
      <c r="D48" s="8" t="s">
        <v>68</v>
      </c>
      <c r="E48" s="8" t="s">
        <v>70</v>
      </c>
      <c r="F48" s="8" t="s">
        <v>69</v>
      </c>
      <c r="G48" s="8" t="s">
        <v>43</v>
      </c>
      <c r="H48" s="8"/>
      <c r="I48" s="8"/>
    </row>
    <row r="49" spans="1:9" x14ac:dyDescent="0.6">
      <c r="A49" s="48" t="s">
        <v>457</v>
      </c>
      <c r="B49" s="48">
        <v>12</v>
      </c>
      <c r="C49" s="48" t="s">
        <v>67</v>
      </c>
      <c r="D49" s="48" t="s">
        <v>68</v>
      </c>
      <c r="E49" s="48" t="s">
        <v>70</v>
      </c>
      <c r="F49" s="48" t="s">
        <v>69</v>
      </c>
      <c r="G49" s="48" t="s">
        <v>43</v>
      </c>
      <c r="H49" s="48" t="s">
        <v>17</v>
      </c>
      <c r="I49" s="8"/>
    </row>
    <row r="50" spans="1:9" x14ac:dyDescent="0.6">
      <c r="A50" s="8" t="s">
        <v>457</v>
      </c>
      <c r="B50" s="8">
        <v>13</v>
      </c>
      <c r="C50" s="8" t="s">
        <v>67</v>
      </c>
      <c r="D50" s="8" t="s">
        <v>68</v>
      </c>
      <c r="E50" s="8" t="s">
        <v>70</v>
      </c>
      <c r="F50" s="8" t="s">
        <v>69</v>
      </c>
      <c r="G50" s="8" t="s">
        <v>43</v>
      </c>
      <c r="H50" s="8" t="s">
        <v>17</v>
      </c>
      <c r="I50" s="8"/>
    </row>
    <row r="51" spans="1:9" x14ac:dyDescent="0.6">
      <c r="A51" s="8" t="s">
        <v>457</v>
      </c>
      <c r="B51" s="8">
        <v>14</v>
      </c>
      <c r="C51" s="8" t="s">
        <v>67</v>
      </c>
      <c r="D51" s="8" t="s">
        <v>68</v>
      </c>
      <c r="E51" s="8" t="s">
        <v>70</v>
      </c>
      <c r="F51" s="8" t="s">
        <v>69</v>
      </c>
      <c r="G51" s="8" t="s">
        <v>43</v>
      </c>
      <c r="H51" s="8" t="s">
        <v>17</v>
      </c>
      <c r="I51" s="8"/>
    </row>
    <row r="52" spans="1:9" ht="17.25" thickBot="1" x14ac:dyDescent="0.65">
      <c r="A52" s="48" t="s">
        <v>457</v>
      </c>
      <c r="B52" s="48">
        <v>15</v>
      </c>
      <c r="C52" s="48" t="s">
        <v>67</v>
      </c>
      <c r="D52" s="48" t="s">
        <v>68</v>
      </c>
      <c r="E52" s="48" t="s">
        <v>70</v>
      </c>
      <c r="F52" s="48" t="s">
        <v>69</v>
      </c>
      <c r="G52" s="48" t="s">
        <v>43</v>
      </c>
      <c r="H52" s="48" t="s">
        <v>17</v>
      </c>
      <c r="I52" s="48" t="s">
        <v>44</v>
      </c>
    </row>
    <row r="53" spans="1:9" ht="17.649999999999999" thickTop="1" thickBot="1" x14ac:dyDescent="0.65">
      <c r="A53" s="52" t="s">
        <v>458</v>
      </c>
      <c r="B53" s="52">
        <v>1</v>
      </c>
      <c r="C53" s="52" t="s">
        <v>18</v>
      </c>
      <c r="D53" s="10"/>
      <c r="E53" s="10"/>
      <c r="F53" s="10"/>
      <c r="G53" s="10"/>
      <c r="H53" s="10"/>
      <c r="I53" s="10"/>
    </row>
    <row r="54" spans="1:9" ht="17.649999999999999" thickTop="1" thickBot="1" x14ac:dyDescent="0.65">
      <c r="A54" s="10" t="s">
        <v>458</v>
      </c>
      <c r="B54" s="10">
        <v>2</v>
      </c>
      <c r="C54" s="10" t="s">
        <v>18</v>
      </c>
      <c r="D54" s="10"/>
      <c r="E54" s="10"/>
      <c r="F54" s="10"/>
      <c r="G54" s="10"/>
      <c r="H54" s="10"/>
      <c r="I54" s="10"/>
    </row>
    <row r="55" spans="1:9" ht="17.649999999999999" thickTop="1" thickBot="1" x14ac:dyDescent="0.65">
      <c r="A55" s="52" t="s">
        <v>458</v>
      </c>
      <c r="B55" s="52">
        <v>3</v>
      </c>
      <c r="C55" s="52" t="s">
        <v>18</v>
      </c>
      <c r="D55" s="52" t="s">
        <v>77</v>
      </c>
      <c r="E55" s="10"/>
      <c r="F55" s="10"/>
      <c r="G55" s="10"/>
      <c r="H55" s="10"/>
      <c r="I55" s="10"/>
    </row>
    <row r="56" spans="1:9" ht="17.649999999999999" thickTop="1" thickBot="1" x14ac:dyDescent="0.65">
      <c r="A56" s="10" t="s">
        <v>458</v>
      </c>
      <c r="B56" s="10">
        <v>4</v>
      </c>
      <c r="C56" s="10" t="s">
        <v>18</v>
      </c>
      <c r="D56" s="10" t="s">
        <v>77</v>
      </c>
      <c r="E56" s="10"/>
      <c r="F56" s="10"/>
      <c r="G56" s="10"/>
      <c r="H56" s="10"/>
      <c r="I56" s="10"/>
    </row>
    <row r="57" spans="1:9" ht="17.649999999999999" thickTop="1" thickBot="1" x14ac:dyDescent="0.65">
      <c r="A57" s="52" t="s">
        <v>458</v>
      </c>
      <c r="B57" s="52">
        <v>5</v>
      </c>
      <c r="C57" s="52" t="s">
        <v>18</v>
      </c>
      <c r="D57" s="52" t="s">
        <v>77</v>
      </c>
      <c r="E57" s="52" t="s">
        <v>79</v>
      </c>
      <c r="F57" s="10"/>
      <c r="G57" s="10"/>
      <c r="H57" s="10"/>
      <c r="I57" s="10"/>
    </row>
    <row r="58" spans="1:9" ht="17.649999999999999" thickTop="1" thickBot="1" x14ac:dyDescent="0.65">
      <c r="A58" s="10" t="s">
        <v>458</v>
      </c>
      <c r="B58" s="10">
        <v>6</v>
      </c>
      <c r="C58" s="10" t="s">
        <v>18</v>
      </c>
      <c r="D58" s="10" t="s">
        <v>77</v>
      </c>
      <c r="E58" s="10" t="s">
        <v>79</v>
      </c>
      <c r="F58" s="10"/>
      <c r="G58" s="10"/>
      <c r="H58" s="10"/>
      <c r="I58" s="10"/>
    </row>
    <row r="59" spans="1:9" ht="17.649999999999999" thickTop="1" thickBot="1" x14ac:dyDescent="0.65">
      <c r="A59" s="52" t="s">
        <v>458</v>
      </c>
      <c r="B59" s="52">
        <v>7</v>
      </c>
      <c r="C59" s="52" t="s">
        <v>18</v>
      </c>
      <c r="D59" s="52" t="s">
        <v>77</v>
      </c>
      <c r="E59" s="52" t="s">
        <v>79</v>
      </c>
      <c r="F59" s="52" t="s">
        <v>78</v>
      </c>
      <c r="G59" s="10"/>
      <c r="H59" s="10"/>
      <c r="I59" s="10"/>
    </row>
    <row r="60" spans="1:9" ht="17.25" thickTop="1" x14ac:dyDescent="0.6">
      <c r="A60" s="10" t="s">
        <v>458</v>
      </c>
      <c r="B60" s="10">
        <v>8</v>
      </c>
      <c r="C60" s="10" t="s">
        <v>18</v>
      </c>
      <c r="D60" s="10" t="s">
        <v>77</v>
      </c>
      <c r="E60" s="10" t="s">
        <v>79</v>
      </c>
      <c r="F60" s="10" t="s">
        <v>78</v>
      </c>
      <c r="G60" s="10"/>
      <c r="H60" s="10"/>
      <c r="I60" s="10"/>
    </row>
    <row r="61" spans="1:9" ht="17.25" thickBot="1" x14ac:dyDescent="0.65">
      <c r="A61" s="10" t="s">
        <v>458</v>
      </c>
      <c r="B61" s="10">
        <v>9</v>
      </c>
      <c r="C61" s="10" t="s">
        <v>18</v>
      </c>
      <c r="D61" s="10" t="s">
        <v>77</v>
      </c>
      <c r="E61" s="10" t="s">
        <v>79</v>
      </c>
      <c r="F61" s="10" t="s">
        <v>78</v>
      </c>
      <c r="G61" s="10"/>
      <c r="H61" s="10"/>
      <c r="I61" s="10"/>
    </row>
    <row r="62" spans="1:9" ht="17.649999999999999" thickTop="1" thickBot="1" x14ac:dyDescent="0.65">
      <c r="A62" s="52" t="s">
        <v>458</v>
      </c>
      <c r="B62" s="52">
        <v>10</v>
      </c>
      <c r="C62" s="52" t="s">
        <v>18</v>
      </c>
      <c r="D62" s="52" t="s">
        <v>77</v>
      </c>
      <c r="E62" s="52" t="s">
        <v>79</v>
      </c>
      <c r="F62" s="52" t="s">
        <v>78</v>
      </c>
      <c r="G62" s="52" t="s">
        <v>45</v>
      </c>
      <c r="H62" s="10"/>
      <c r="I62" s="10"/>
    </row>
    <row r="63" spans="1:9" ht="17.649999999999999" thickTop="1" thickBot="1" x14ac:dyDescent="0.65">
      <c r="A63" s="10" t="s">
        <v>458</v>
      </c>
      <c r="B63" s="10">
        <v>11</v>
      </c>
      <c r="C63" s="10" t="s">
        <v>18</v>
      </c>
      <c r="D63" s="10" t="s">
        <v>77</v>
      </c>
      <c r="E63" s="10" t="s">
        <v>79</v>
      </c>
      <c r="F63" s="10" t="s">
        <v>78</v>
      </c>
      <c r="G63" s="10" t="s">
        <v>45</v>
      </c>
      <c r="H63" s="10"/>
      <c r="I63" s="10"/>
    </row>
    <row r="64" spans="1:9" ht="17.649999999999999" thickTop="1" thickBot="1" x14ac:dyDescent="0.65">
      <c r="A64" s="52" t="s">
        <v>458</v>
      </c>
      <c r="B64" s="52">
        <v>12</v>
      </c>
      <c r="C64" s="52" t="s">
        <v>18</v>
      </c>
      <c r="D64" s="52" t="s">
        <v>77</v>
      </c>
      <c r="E64" s="52" t="s">
        <v>79</v>
      </c>
      <c r="F64" s="52" t="s">
        <v>78</v>
      </c>
      <c r="G64" s="52" t="s">
        <v>45</v>
      </c>
      <c r="H64" s="52" t="s">
        <v>80</v>
      </c>
      <c r="I64" s="10"/>
    </row>
    <row r="65" spans="1:9" ht="17.25" thickTop="1" x14ac:dyDescent="0.6">
      <c r="A65" s="10" t="s">
        <v>458</v>
      </c>
      <c r="B65" s="10">
        <v>13</v>
      </c>
      <c r="C65" s="10" t="s">
        <v>18</v>
      </c>
      <c r="D65" s="10" t="s">
        <v>77</v>
      </c>
      <c r="E65" s="10" t="s">
        <v>79</v>
      </c>
      <c r="F65" s="10" t="s">
        <v>78</v>
      </c>
      <c r="G65" s="10" t="s">
        <v>45</v>
      </c>
      <c r="H65" s="10" t="s">
        <v>80</v>
      </c>
      <c r="I65" s="10"/>
    </row>
    <row r="66" spans="1:9" ht="17.25" thickBot="1" x14ac:dyDescent="0.65">
      <c r="A66" s="10" t="s">
        <v>458</v>
      </c>
      <c r="B66" s="10">
        <v>14</v>
      </c>
      <c r="C66" s="10" t="s">
        <v>18</v>
      </c>
      <c r="D66" s="10" t="s">
        <v>77</v>
      </c>
      <c r="E66" s="10" t="s">
        <v>79</v>
      </c>
      <c r="F66" s="10" t="s">
        <v>78</v>
      </c>
      <c r="G66" s="10" t="s">
        <v>45</v>
      </c>
      <c r="H66" s="10" t="s">
        <v>80</v>
      </c>
      <c r="I66" s="10"/>
    </row>
    <row r="67" spans="1:9" ht="17.649999999999999" thickTop="1" thickBot="1" x14ac:dyDescent="0.65">
      <c r="A67" s="52" t="s">
        <v>458</v>
      </c>
      <c r="B67" s="52">
        <v>15</v>
      </c>
      <c r="C67" s="52" t="s">
        <v>18</v>
      </c>
      <c r="D67" s="52" t="s">
        <v>77</v>
      </c>
      <c r="E67" s="52" t="s">
        <v>79</v>
      </c>
      <c r="F67" s="52" t="s">
        <v>78</v>
      </c>
      <c r="G67" s="52" t="s">
        <v>45</v>
      </c>
      <c r="H67" s="52" t="s">
        <v>80</v>
      </c>
      <c r="I67" s="52" t="s">
        <v>81</v>
      </c>
    </row>
    <row r="68" spans="1:9" ht="17.25" thickTop="1" x14ac:dyDescent="0.6">
      <c r="A68" s="79" t="s">
        <v>147</v>
      </c>
      <c r="B68" s="79" t="s">
        <v>26</v>
      </c>
      <c r="C68" s="79" t="s">
        <v>336</v>
      </c>
      <c r="D68" s="79" t="s">
        <v>337</v>
      </c>
      <c r="E68" s="79" t="s">
        <v>340</v>
      </c>
      <c r="F68" s="79" t="s">
        <v>341</v>
      </c>
      <c r="G68" s="79" t="s">
        <v>342</v>
      </c>
      <c r="H68" s="79" t="s">
        <v>343</v>
      </c>
      <c r="I68" s="79" t="s">
        <v>344</v>
      </c>
    </row>
    <row r="69" spans="1:9" x14ac:dyDescent="0.6">
      <c r="A69" s="48" t="s">
        <v>459</v>
      </c>
      <c r="B69" s="48">
        <v>1</v>
      </c>
      <c r="C69" s="48" t="s">
        <v>477</v>
      </c>
      <c r="D69" s="8"/>
      <c r="E69" s="8"/>
      <c r="F69" s="8"/>
      <c r="G69" s="8"/>
      <c r="H69" s="8"/>
      <c r="I69" s="8"/>
    </row>
    <row r="70" spans="1:9" x14ac:dyDescent="0.6">
      <c r="A70" s="8" t="s">
        <v>459</v>
      </c>
      <c r="B70" s="8">
        <v>2</v>
      </c>
      <c r="C70" s="8" t="s">
        <v>477</v>
      </c>
      <c r="D70" s="8"/>
      <c r="E70" s="8"/>
      <c r="F70" s="8"/>
      <c r="G70" s="8"/>
      <c r="H70" s="8"/>
      <c r="I70" s="8"/>
    </row>
    <row r="71" spans="1:9" x14ac:dyDescent="0.6">
      <c r="A71" s="48" t="s">
        <v>459</v>
      </c>
      <c r="B71" s="48">
        <v>3</v>
      </c>
      <c r="C71" s="48" t="s">
        <v>477</v>
      </c>
      <c r="D71" s="48" t="s">
        <v>476</v>
      </c>
      <c r="E71" s="48"/>
      <c r="F71" s="48"/>
      <c r="G71" s="48"/>
      <c r="H71" s="48"/>
      <c r="I71" s="48"/>
    </row>
    <row r="72" spans="1:9" x14ac:dyDescent="0.6">
      <c r="A72" s="8" t="s">
        <v>459</v>
      </c>
      <c r="B72" s="8">
        <v>4</v>
      </c>
      <c r="C72" s="8" t="s">
        <v>477</v>
      </c>
      <c r="D72" s="8" t="s">
        <v>476</v>
      </c>
      <c r="E72" s="8"/>
      <c r="F72" s="8"/>
      <c r="G72" s="8"/>
      <c r="H72" s="8"/>
      <c r="I72" s="8"/>
    </row>
    <row r="73" spans="1:9" x14ac:dyDescent="0.6">
      <c r="A73" s="48" t="s">
        <v>459</v>
      </c>
      <c r="B73" s="48">
        <v>5</v>
      </c>
      <c r="C73" s="48" t="s">
        <v>477</v>
      </c>
      <c r="D73" s="48" t="s">
        <v>476</v>
      </c>
      <c r="E73" s="48" t="s">
        <v>479</v>
      </c>
      <c r="F73" s="48"/>
      <c r="G73" s="48"/>
      <c r="H73" s="48"/>
      <c r="I73" s="48"/>
    </row>
    <row r="74" spans="1:9" x14ac:dyDescent="0.6">
      <c r="A74" s="8" t="s">
        <v>459</v>
      </c>
      <c r="B74" s="8">
        <v>6</v>
      </c>
      <c r="C74" s="8" t="s">
        <v>477</v>
      </c>
      <c r="D74" s="8" t="s">
        <v>476</v>
      </c>
      <c r="E74" s="8" t="s">
        <v>479</v>
      </c>
      <c r="F74" s="8"/>
      <c r="G74" s="8"/>
      <c r="H74" s="8"/>
      <c r="I74" s="8"/>
    </row>
    <row r="75" spans="1:9" x14ac:dyDescent="0.6">
      <c r="A75" s="48" t="s">
        <v>459</v>
      </c>
      <c r="B75" s="48">
        <v>7</v>
      </c>
      <c r="C75" s="48" t="s">
        <v>477</v>
      </c>
      <c r="D75" s="48" t="s">
        <v>476</v>
      </c>
      <c r="E75" s="48" t="s">
        <v>479</v>
      </c>
      <c r="F75" s="48" t="s">
        <v>480</v>
      </c>
      <c r="G75" s="48"/>
      <c r="H75" s="48"/>
      <c r="I75" s="48"/>
    </row>
    <row r="76" spans="1:9" x14ac:dyDescent="0.6">
      <c r="A76" s="8" t="s">
        <v>459</v>
      </c>
      <c r="B76" s="8">
        <v>8</v>
      </c>
      <c r="C76" s="8" t="s">
        <v>477</v>
      </c>
      <c r="D76" s="8" t="s">
        <v>476</v>
      </c>
      <c r="E76" s="8" t="s">
        <v>479</v>
      </c>
      <c r="F76" s="8" t="s">
        <v>480</v>
      </c>
      <c r="G76" s="8"/>
      <c r="H76" s="8"/>
      <c r="I76" s="8"/>
    </row>
    <row r="77" spans="1:9" x14ac:dyDescent="0.6">
      <c r="A77" s="8" t="s">
        <v>459</v>
      </c>
      <c r="B77" s="8">
        <v>9</v>
      </c>
      <c r="C77" s="8" t="s">
        <v>477</v>
      </c>
      <c r="D77" s="8" t="s">
        <v>476</v>
      </c>
      <c r="E77" s="8" t="s">
        <v>479</v>
      </c>
      <c r="F77" s="8" t="s">
        <v>480</v>
      </c>
      <c r="G77" s="8"/>
      <c r="H77" s="8"/>
      <c r="I77" s="8"/>
    </row>
    <row r="78" spans="1:9" x14ac:dyDescent="0.6">
      <c r="A78" s="48" t="s">
        <v>459</v>
      </c>
      <c r="B78" s="48">
        <v>10</v>
      </c>
      <c r="C78" s="48" t="s">
        <v>477</v>
      </c>
      <c r="D78" s="48" t="s">
        <v>476</v>
      </c>
      <c r="E78" s="48" t="s">
        <v>479</v>
      </c>
      <c r="F78" s="48" t="s">
        <v>480</v>
      </c>
      <c r="G78" s="48" t="s">
        <v>478</v>
      </c>
      <c r="H78" s="48"/>
      <c r="I78" s="48"/>
    </row>
    <row r="79" spans="1:9" x14ac:dyDescent="0.6">
      <c r="A79" s="8" t="s">
        <v>459</v>
      </c>
      <c r="B79" s="8">
        <v>11</v>
      </c>
      <c r="C79" s="8" t="s">
        <v>477</v>
      </c>
      <c r="D79" s="8" t="s">
        <v>476</v>
      </c>
      <c r="E79" s="8" t="s">
        <v>479</v>
      </c>
      <c r="F79" s="8" t="s">
        <v>480</v>
      </c>
      <c r="G79" s="8" t="s">
        <v>478</v>
      </c>
      <c r="H79" s="8"/>
      <c r="I79" s="8"/>
    </row>
    <row r="80" spans="1:9" x14ac:dyDescent="0.6">
      <c r="A80" s="48" t="s">
        <v>459</v>
      </c>
      <c r="B80" s="48">
        <v>12</v>
      </c>
      <c r="C80" s="48" t="s">
        <v>477</v>
      </c>
      <c r="D80" s="48" t="s">
        <v>476</v>
      </c>
      <c r="E80" s="48" t="s">
        <v>479</v>
      </c>
      <c r="F80" s="48" t="s">
        <v>480</v>
      </c>
      <c r="G80" s="48" t="s">
        <v>478</v>
      </c>
      <c r="H80" s="48" t="s">
        <v>482</v>
      </c>
      <c r="I80" s="48"/>
    </row>
    <row r="81" spans="1:9" x14ac:dyDescent="0.6">
      <c r="A81" s="8" t="s">
        <v>459</v>
      </c>
      <c r="B81" s="8">
        <v>13</v>
      </c>
      <c r="C81" s="8" t="s">
        <v>477</v>
      </c>
      <c r="D81" s="8" t="s">
        <v>474</v>
      </c>
      <c r="E81" s="8" t="s">
        <v>479</v>
      </c>
      <c r="F81" s="8" t="s">
        <v>480</v>
      </c>
      <c r="G81" s="8" t="s">
        <v>478</v>
      </c>
      <c r="H81" s="8" t="s">
        <v>482</v>
      </c>
      <c r="I81" s="8"/>
    </row>
    <row r="82" spans="1:9" x14ac:dyDescent="0.6">
      <c r="A82" s="8" t="s">
        <v>459</v>
      </c>
      <c r="B82" s="8">
        <v>14</v>
      </c>
      <c r="C82" s="8" t="s">
        <v>477</v>
      </c>
      <c r="D82" s="8" t="s">
        <v>476</v>
      </c>
      <c r="E82" s="8" t="s">
        <v>479</v>
      </c>
      <c r="F82" s="8" t="s">
        <v>480</v>
      </c>
      <c r="G82" s="8" t="s">
        <v>478</v>
      </c>
      <c r="H82" s="8" t="s">
        <v>482</v>
      </c>
      <c r="I82" s="8"/>
    </row>
    <row r="83" spans="1:9" x14ac:dyDescent="0.6">
      <c r="A83" s="48" t="s">
        <v>459</v>
      </c>
      <c r="B83" s="48">
        <v>15</v>
      </c>
      <c r="C83" s="48" t="s">
        <v>477</v>
      </c>
      <c r="D83" s="48" t="s">
        <v>476</v>
      </c>
      <c r="E83" s="48" t="s">
        <v>479</v>
      </c>
      <c r="F83" s="48" t="s">
        <v>480</v>
      </c>
      <c r="G83" s="48" t="s">
        <v>478</v>
      </c>
      <c r="H83" s="48" t="s">
        <v>482</v>
      </c>
      <c r="I83" s="48" t="s">
        <v>481</v>
      </c>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13</vt:i4>
      </vt:variant>
    </vt:vector>
  </HeadingPairs>
  <TitlesOfParts>
    <vt:vector size="13" baseType="lpstr">
      <vt:lpstr>문서 개요</vt:lpstr>
      <vt:lpstr>스테이터스</vt:lpstr>
      <vt:lpstr>성장 시스템</vt:lpstr>
      <vt:lpstr>필드 정의</vt:lpstr>
      <vt:lpstr>아군 유닛</vt:lpstr>
      <vt:lpstr>적군 유닛</vt:lpstr>
      <vt:lpstr>적군 부대 AI</vt:lpstr>
      <vt:lpstr>직업 스킬</vt:lpstr>
      <vt:lpstr>장비 시스템</vt:lpstr>
      <vt:lpstr>무기</vt:lpstr>
      <vt:lpstr>스탯 시뮬레이터</vt:lpstr>
      <vt:lpstr>전투 시뮬레이터</vt:lpstr>
      <vt:lpstr>랭크별 스킬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k2503200039</dc:creator>
  <cp:lastModifiedBy>k2104200016</cp:lastModifiedBy>
  <dcterms:created xsi:type="dcterms:W3CDTF">2026-03-30T01:14:21Z</dcterms:created>
  <dcterms:modified xsi:type="dcterms:W3CDTF">2026-04-21T05:28:59Z</dcterms:modified>
</cp:coreProperties>
</file>