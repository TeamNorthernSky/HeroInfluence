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_ORORA\Assets\ASB_Work\DataSheet\"/>
    </mc:Choice>
  </mc:AlternateContent>
  <xr:revisionPtr revIDLastSave="0" documentId="13_ncr:1_{517841F5-AA6D-4FBE-A509-34FD3DF3CE69}" xr6:coauthVersionLast="36" xr6:coauthVersionMax="36" xr10:uidLastSave="{00000000-0000-0000-0000-000000000000}"/>
  <bookViews>
    <workbookView xWindow="0" yWindow="0" windowWidth="20230" windowHeight="12000" activeTab="1" xr2:uid="{B7614390-11AA-4CA0-8D0B-42C45BC335B4}"/>
  </bookViews>
  <sheets>
    <sheet name="아군 유닛" sheetId="1" r:id="rId1"/>
    <sheet name="적군 유닛" sheetId="4" r:id="rId2"/>
    <sheet name="경험치" sheetId="5" r:id="rId3"/>
    <sheet name="직업 스킬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5" l="1"/>
  <c r="D11" i="5"/>
  <c r="D12" i="5"/>
  <c r="D13" i="5"/>
  <c r="D14" i="5"/>
  <c r="D15" i="5"/>
  <c r="D16" i="5"/>
  <c r="D17" i="5"/>
  <c r="D18" i="5"/>
  <c r="D19" i="5"/>
  <c r="D20" i="5"/>
  <c r="D21" i="5"/>
  <c r="D22" i="5"/>
  <c r="D9" i="5"/>
  <c r="D23" i="5" l="1"/>
</calcChain>
</file>

<file path=xl/sharedStrings.xml><?xml version="1.0" encoding="utf-8"?>
<sst xmlns="http://schemas.openxmlformats.org/spreadsheetml/2006/main" count="218" uniqueCount="141">
  <si>
    <t>인덱스</t>
    <phoneticPr fontId="4" type="noConversion"/>
  </si>
  <si>
    <t>공격력</t>
    <phoneticPr fontId="4" type="noConversion"/>
  </si>
  <si>
    <t>Index</t>
    <phoneticPr fontId="4" type="noConversion"/>
  </si>
  <si>
    <t>Class</t>
    <phoneticPr fontId="4" type="noConversion"/>
  </si>
  <si>
    <t>Atk</t>
    <phoneticPr fontId="4" type="noConversion"/>
  </si>
  <si>
    <t>HP</t>
    <phoneticPr fontId="4" type="noConversion"/>
  </si>
  <si>
    <t>CriticalRate</t>
    <phoneticPr fontId="4" type="noConversion"/>
  </si>
  <si>
    <t>ClassSkill</t>
    <phoneticPr fontId="4" type="noConversion"/>
  </si>
  <si>
    <t>WeaponSkill</t>
    <phoneticPr fontId="4" type="noConversion"/>
  </si>
  <si>
    <t>Speed</t>
    <phoneticPr fontId="4" type="noConversion"/>
  </si>
  <si>
    <t>ClassSkillType</t>
    <phoneticPr fontId="4" type="noConversion"/>
  </si>
  <si>
    <t>WeaponSkillType</t>
    <phoneticPr fontId="4" type="noConversion"/>
  </si>
  <si>
    <t>직업 스킬 계수</t>
    <phoneticPr fontId="4" type="noConversion"/>
  </si>
  <si>
    <t>스피드</t>
    <phoneticPr fontId="4" type="noConversion"/>
  </si>
  <si>
    <t>CounterRate</t>
    <phoneticPr fontId="4" type="noConversion"/>
  </si>
  <si>
    <t>AvoidRate</t>
    <phoneticPr fontId="4" type="noConversion"/>
  </si>
  <si>
    <t>회피율</t>
    <phoneticPr fontId="4" type="noConversion"/>
  </si>
  <si>
    <t>반격율</t>
    <phoneticPr fontId="4" type="noConversion"/>
  </si>
  <si>
    <t>치명타율</t>
    <phoneticPr fontId="4" type="noConversion"/>
  </si>
  <si>
    <t>체력</t>
    <phoneticPr fontId="4" type="noConversion"/>
  </si>
  <si>
    <t>UnitType</t>
    <phoneticPr fontId="4" type="noConversion"/>
  </si>
  <si>
    <t>유닛 종류</t>
    <phoneticPr fontId="4" type="noConversion"/>
  </si>
  <si>
    <t>Warrior</t>
    <phoneticPr fontId="4" type="noConversion"/>
  </si>
  <si>
    <t>Archer</t>
    <phoneticPr fontId="4" type="noConversion"/>
  </si>
  <si>
    <t>Cleric</t>
    <phoneticPr fontId="4" type="noConversion"/>
  </si>
  <si>
    <t>Wizard</t>
    <phoneticPr fontId="4" type="noConversion"/>
  </si>
  <si>
    <t>LowerMonster</t>
    <phoneticPr fontId="4" type="noConversion"/>
  </si>
  <si>
    <t>MiddleMonster</t>
    <phoneticPr fontId="4" type="noConversion"/>
  </si>
  <si>
    <t>AdvancedMonster</t>
    <phoneticPr fontId="4" type="noConversion"/>
  </si>
  <si>
    <t>Skill1Type</t>
    <phoneticPr fontId="4" type="noConversion"/>
  </si>
  <si>
    <t>스킬1 계수</t>
    <phoneticPr fontId="4" type="noConversion"/>
  </si>
  <si>
    <t>스킬2 계수</t>
    <phoneticPr fontId="4" type="noConversion"/>
  </si>
  <si>
    <t>도발 베기</t>
    <phoneticPr fontId="4" type="noConversion"/>
  </si>
  <si>
    <t>강타</t>
    <phoneticPr fontId="4" type="noConversion"/>
  </si>
  <si>
    <t>정밀 사격</t>
    <phoneticPr fontId="4" type="noConversion"/>
  </si>
  <si>
    <t>연속 사격</t>
    <phoneticPr fontId="4" type="noConversion"/>
  </si>
  <si>
    <t>스킬 효과</t>
    <phoneticPr fontId="4" type="noConversion"/>
  </si>
  <si>
    <t>마력 폭발</t>
    <phoneticPr fontId="4" type="noConversion"/>
  </si>
  <si>
    <t>힐</t>
    <phoneticPr fontId="4" type="noConversion"/>
  </si>
  <si>
    <t>신성 타격</t>
    <phoneticPr fontId="4" type="noConversion"/>
  </si>
  <si>
    <t>스킬1 타입
(1 근거리 단일 공격
 2 근거리 전체 공격
 3 원거리 단일 공격
 4 원거리 전체 공격
 5 단일 회복)</t>
    <phoneticPr fontId="4" type="noConversion"/>
  </si>
  <si>
    <t>스킬2 타입
(1 근거리 단일 공격
 2 근거리 전체 공격
 3 원거리 단일 공격
 4 원거리 전체 공격
 5 단일 회복)</t>
    <phoneticPr fontId="4" type="noConversion"/>
  </si>
  <si>
    <t>AI 행동 규칙</t>
    <phoneticPr fontId="4" type="noConversion"/>
  </si>
  <si>
    <t>자신의 체력 50 단일 회복</t>
    <phoneticPr fontId="4" type="noConversion"/>
  </si>
  <si>
    <t>상대 전열 전체 공격</t>
    <phoneticPr fontId="4" type="noConversion"/>
  </si>
  <si>
    <t>상대 전열 단일 공격</t>
    <phoneticPr fontId="4" type="noConversion"/>
  </si>
  <si>
    <t>상대 전열 또는 후열 단일 공격</t>
    <phoneticPr fontId="4" type="noConversion"/>
  </si>
  <si>
    <t>상대 전체 공격</t>
    <phoneticPr fontId="4" type="noConversion"/>
  </si>
  <si>
    <t>70% 확률로 스킬1 (70% 확률로 상대 후열 우선), 30% 확률로 스킬2</t>
    <phoneticPr fontId="4" type="noConversion"/>
  </si>
  <si>
    <t>일반 상황에서는 스킬1(50:50 확률로 젼열 또는 후열 타깃), 체력 60 이하 시 스킬2</t>
    <phoneticPr fontId="4" type="noConversion"/>
  </si>
  <si>
    <t>70% 확률로 스킬1, 30% 확률로 스킬2</t>
    <phoneticPr fontId="4" type="noConversion"/>
  </si>
  <si>
    <t>ClassSkillValue</t>
    <phoneticPr fontId="4" type="noConversion"/>
  </si>
  <si>
    <t>WeaponSkillValue</t>
    <phoneticPr fontId="4" type="noConversion"/>
  </si>
  <si>
    <t>Skill1Value</t>
    <phoneticPr fontId="4" type="noConversion"/>
  </si>
  <si>
    <t>0.7계수의 공격을 2회 연타 (치명/반격/회피 판정은 각각 독립 판정)</t>
    <phoneticPr fontId="4" type="noConversion"/>
  </si>
  <si>
    <t>전투 종료까지 매 피격 유닛의 턴마다 최대 체력의 15% 대미지</t>
    <phoneticPr fontId="4" type="noConversion"/>
  </si>
  <si>
    <t>무기스킬명
(무기에 따라 바뀜)</t>
    <phoneticPr fontId="4" type="noConversion"/>
  </si>
  <si>
    <t>직업스킬명
(레벨에 따라 얻게 되는 신규 스킬로 교체 가능)</t>
    <phoneticPr fontId="4" type="noConversion"/>
  </si>
  <si>
    <t>레벨</t>
    <phoneticPr fontId="4" type="noConversion"/>
  </si>
  <si>
    <t>필요 경험치</t>
    <phoneticPr fontId="4" type="noConversion"/>
  </si>
  <si>
    <t>전투 1회당
평균 경험치</t>
    <phoneticPr fontId="4" type="noConversion"/>
  </si>
  <si>
    <t>총 전투 수</t>
    <phoneticPr fontId="4" type="noConversion"/>
  </si>
  <si>
    <t>스킬</t>
    <phoneticPr fontId="4" type="noConversion"/>
  </si>
  <si>
    <t>레벨업 시
필요한 전투 수</t>
    <phoneticPr fontId="4" type="noConversion"/>
  </si>
  <si>
    <t>기본 스킬</t>
    <phoneticPr fontId="4" type="noConversion"/>
  </si>
  <si>
    <t>신규 스킬</t>
    <phoneticPr fontId="4" type="noConversion"/>
  </si>
  <si>
    <t>신규 스킬 획득까지
필요한 전투 수</t>
    <phoneticPr fontId="4" type="noConversion"/>
  </si>
  <si>
    <t>무기 획득 추천 타이밍</t>
    <phoneticPr fontId="4" type="noConversion"/>
  </si>
  <si>
    <t>기본 무기</t>
    <phoneticPr fontId="4" type="noConversion"/>
  </si>
  <si>
    <t>신규 무기</t>
    <phoneticPr fontId="4" type="noConversion"/>
  </si>
  <si>
    <t xml:space="preserve"> 습득 레벨</t>
    <phoneticPr fontId="4" type="noConversion"/>
  </si>
  <si>
    <t>직업</t>
    <phoneticPr fontId="4" type="noConversion"/>
  </si>
  <si>
    <t>Level</t>
    <phoneticPr fontId="4" type="noConversion"/>
  </si>
  <si>
    <t>ClassSkillName</t>
    <phoneticPr fontId="4" type="noConversion"/>
  </si>
  <si>
    <t>직업 스킬명</t>
    <phoneticPr fontId="4" type="noConversion"/>
  </si>
  <si>
    <t>ClassSkillDescription</t>
    <phoneticPr fontId="4" type="noConversion"/>
  </si>
  <si>
    <t>직업 스킬 설명</t>
    <phoneticPr fontId="4" type="noConversion"/>
  </si>
  <si>
    <t>스킬 계수</t>
    <phoneticPr fontId="4" type="noConversion"/>
  </si>
  <si>
    <t>불굴</t>
    <phoneticPr fontId="4" type="noConversion"/>
  </si>
  <si>
    <t>메테오</t>
    <phoneticPr fontId="4" type="noConversion"/>
  </si>
  <si>
    <t>붕괴</t>
    <phoneticPr fontId="4" type="noConversion"/>
  </si>
  <si>
    <t>광역 힐</t>
    <phoneticPr fontId="4" type="noConversion"/>
  </si>
  <si>
    <t>일렬 배기</t>
    <phoneticPr fontId="4" type="noConversion"/>
  </si>
  <si>
    <t>관통</t>
    <phoneticPr fontId="4" type="noConversion"/>
  </si>
  <si>
    <t>광역 도발</t>
    <phoneticPr fontId="4" type="noConversion"/>
  </si>
  <si>
    <t>돌파</t>
    <phoneticPr fontId="4" type="noConversion"/>
  </si>
  <si>
    <t>쌍렬 베기</t>
    <phoneticPr fontId="4" type="noConversion"/>
  </si>
  <si>
    <t>적 전열과 후열의 모든 적에게 50% 대미지를 준다.</t>
    <phoneticPr fontId="4" type="noConversion"/>
  </si>
  <si>
    <t>적 1명에게 100% 대미지를 입히고, 1턴 동안 해당 대상이 단일 공격 시 자신을 공격하게 한다. (적 전열이 있을 경우, 전열 우선 공격)</t>
    <phoneticPr fontId="4" type="noConversion"/>
  </si>
  <si>
    <t>ClassSkillIndex</t>
    <phoneticPr fontId="4" type="noConversion"/>
  </si>
  <si>
    <t>직업 스킬 인덱스</t>
    <phoneticPr fontId="4" type="noConversion"/>
  </si>
  <si>
    <t>무기 스킬 인덱스</t>
    <phoneticPr fontId="4" type="noConversion"/>
  </si>
  <si>
    <t>WeaponSkillIndex</t>
    <phoneticPr fontId="4" type="noConversion"/>
  </si>
  <si>
    <t>전열 저격</t>
    <phoneticPr fontId="4" type="noConversion"/>
  </si>
  <si>
    <t>급소 저격</t>
    <phoneticPr fontId="4" type="noConversion"/>
  </si>
  <si>
    <t>화살비</t>
    <phoneticPr fontId="4" type="noConversion"/>
  </si>
  <si>
    <t>0.7 × 2</t>
    <phoneticPr fontId="4" type="noConversion"/>
  </si>
  <si>
    <t>자신의 체력이 낮을수록 적 1명에게 높은 대미지를 입힌다. (기본 100% + 최대 체력 대비 현재 체력 20%가 낮아질 때마다 20% 추가, 최대 180%)</t>
    <phoneticPr fontId="4" type="noConversion"/>
  </si>
  <si>
    <t>적 1명에게 70% 대미지를 두 번 입힌다. (치명타, 회피율 판정은 각각 계산한다.)</t>
    <phoneticPr fontId="4" type="noConversion"/>
  </si>
  <si>
    <t>적 1명에게 100% 대미지를 입힌다.</t>
    <phoneticPr fontId="4" type="noConversion"/>
  </si>
  <si>
    <t>후열 저격</t>
    <phoneticPr fontId="4" type="noConversion"/>
  </si>
  <si>
    <t>적 1명에게 100% 대미지를 입힌다. 전열의 적을 공격 시, 120% 대미지로 계산한다.</t>
    <phoneticPr fontId="4" type="noConversion"/>
  </si>
  <si>
    <t>최후의 일격</t>
    <phoneticPr fontId="4" type="noConversion"/>
  </si>
  <si>
    <t>적 1명에게 100% 대미지를 입힌다. 후열의 적을 공격 시 대미지 계산 전 회피율을 20% 내린다.</t>
    <phoneticPr fontId="4" type="noConversion"/>
  </si>
  <si>
    <t>적 1명에게 100% 대미지를 입힌다. 체력 70% 이하 대상 공격 시 대미지 계산 전 치명타 확률을 20% 올린다.</t>
    <phoneticPr fontId="4" type="noConversion"/>
  </si>
  <si>
    <t>적의 체력이 낮을 수록 높은 대미지를 입힌다. (기본 100% + 적의 최대 체력 대비 현재 체력 10%가 낮아질 때마다 10% 추가, 최대 180%)</t>
    <phoneticPr fontId="4" type="noConversion"/>
  </si>
  <si>
    <t>파이어볼</t>
    <phoneticPr fontId="4" type="noConversion"/>
  </si>
  <si>
    <t>번개 확산</t>
    <phoneticPr fontId="4" type="noConversion"/>
  </si>
  <si>
    <t>연쇄 번개</t>
    <phoneticPr fontId="4" type="noConversion"/>
  </si>
  <si>
    <t>마력 집중</t>
    <phoneticPr fontId="4" type="noConversion"/>
  </si>
  <si>
    <t>이 공격을 맞는 적의 수가 적을수록 높은 대미지를 입힌다. (기본 100% + 전 진형의 빈 칸 하나당 20%, 최대 180%)</t>
    <phoneticPr fontId="4" type="noConversion"/>
  </si>
  <si>
    <t>적 한 열에 80% 대미지를 입힌다.</t>
    <phoneticPr fontId="4" type="noConversion"/>
  </si>
  <si>
    <t>적 1명에게 체력이 높을수록 높은 대미지를 입힌다. (기본 150% + 적의 최대 체력 대비 현재 체력 10%가 낮아질 때마다 10% 감소, 최소 100%)</t>
    <phoneticPr fontId="4" type="noConversion"/>
  </si>
  <si>
    <t>적 한 명에게 180% 대미지를 입힌다. 다음 자신의 턴 1턴을 건너뛴다.</t>
    <phoneticPr fontId="4" type="noConversion"/>
  </si>
  <si>
    <t>0.7 + 0.5</t>
    <phoneticPr fontId="4" type="noConversion"/>
  </si>
  <si>
    <t>전열의 적 한 명에게 70% 대미지를 입히고, 인접한 적 한 명에게 추가로 50% 대미지를 입힌다.</t>
    <phoneticPr fontId="4" type="noConversion"/>
  </si>
  <si>
    <t>적 전열과 후열의 모든 적에게 60% 대미지를 준다.</t>
    <phoneticPr fontId="4" type="noConversion"/>
  </si>
  <si>
    <t>신성탄</t>
    <phoneticPr fontId="4" type="noConversion"/>
  </si>
  <si>
    <t>심판의 빛</t>
    <phoneticPr fontId="4" type="noConversion"/>
  </si>
  <si>
    <t>긴급 치유</t>
    <phoneticPr fontId="4" type="noConversion"/>
  </si>
  <si>
    <t>신성 폭발</t>
    <phoneticPr fontId="4" type="noConversion"/>
  </si>
  <si>
    <t>기적</t>
    <phoneticPr fontId="4" type="noConversion"/>
  </si>
  <si>
    <t>직업 스킬 타입
(1 근거리 단일 공격
 2 근거리 전체 공격
 3 원거리 단일 공격
 4 원거리 전체 공격
 5 단일 회복
6 광역 회복)</t>
    <phoneticPr fontId="4" type="noConversion"/>
  </si>
  <si>
    <t>아군 1명 체력 50 고정 회복</t>
    <phoneticPr fontId="4" type="noConversion"/>
  </si>
  <si>
    <t>적 1명에게 100% 대미지를 입히고, 입힌 대미지 만큼 자신의 체력 회복</t>
    <phoneticPr fontId="4" type="noConversion"/>
  </si>
  <si>
    <t>적 1명에게 100% 대미지를 입히고 체력을 회복할 수 없게 한다.</t>
    <phoneticPr fontId="4" type="noConversion"/>
  </si>
  <si>
    <t>아군 1명의 체력을 회복한다. (기본 30 + 최대 체력 대비 현재 체력 20%가 낮아질 때마다 15 추가, 최대 90)</t>
    <phoneticPr fontId="4" type="noConversion"/>
  </si>
  <si>
    <t>아군 1명의 체력을 40 고정 회복하고, 인접한 아군 1명의 체력을 10 추가 회복한다.</t>
    <phoneticPr fontId="4" type="noConversion"/>
  </si>
  <si>
    <t>사망한 아군 1명을 체력 20%로 부활시킨다. (한 전투당 한 번만 사용 가능)</t>
    <phoneticPr fontId="4" type="noConversion"/>
  </si>
  <si>
    <t>직업 스킬 타입
(1 근거리 단일 공격
 2 근거리 전체 공격
 3 원거리 단일 공격
 4 원거리 전체 공격
 5 단일 회복
 6 전체 회복)</t>
    <phoneticPr fontId="4" type="noConversion"/>
  </si>
  <si>
    <t>무기 스킬 타입
(1 근거리 단일 공격
 2 근거리 전체 공격
 3 원거리 단일 공격
 4 원거리 전체 공격
 5 단일 회복
 6 전체 회복)</t>
    <phoneticPr fontId="4" type="noConversion"/>
  </si>
  <si>
    <t>적 한 열에 100% 대미지를 입히고, 1턴 동안 모든 적이 단일 공격 시 자신을 공격하게 한다. (적 전열이 있을 경우, 전열 우선 공격)</t>
    <phoneticPr fontId="4" type="noConversion"/>
  </si>
  <si>
    <t>전열의 적 한 명에게 60% 대미지를 입히고, 해당 후열에 있는 적 한 명에게 추가로 80% 대미지를 입힌다. (전열의 적이 없을 경우 후열의 적 한 명만을 공격)</t>
    <phoneticPr fontId="4" type="noConversion"/>
  </si>
  <si>
    <t>적 한 열에 100% 대미지를 입힌다. (적 전열이 있을 경우, 전열 우선 공격)</t>
    <phoneticPr fontId="4" type="noConversion"/>
  </si>
  <si>
    <t>0.6 + 0.8</t>
    <phoneticPr fontId="4" type="noConversion"/>
  </si>
  <si>
    <t>적 1명에게 120% 대미지를 입힌다. (후열에 있는 적도 공격 가능하다.)</t>
    <phoneticPr fontId="4" type="noConversion"/>
  </si>
  <si>
    <t>적 1명에게 120% 대미지를 입히고, 1턴 동안 해당 대상이 단일 공격 시 자신을 공격하게 한다. (적 전열이 있을 경우, 전열 우선 공격)</t>
    <phoneticPr fontId="4" type="noConversion"/>
  </si>
  <si>
    <t>방어력
(0고정)</t>
    <phoneticPr fontId="4" type="noConversion"/>
  </si>
  <si>
    <t>DEF</t>
    <phoneticPr fontId="4" type="noConversion"/>
  </si>
  <si>
    <t>Def</t>
    <phoneticPr fontId="4" type="noConversion"/>
  </si>
  <si>
    <t>방어력
(0 고정)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</si>
</sst>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5" borderId="0" xfId="0" applyFill="1">
      <alignment vertical="center"/>
    </xf>
    <xf numFmtId="0" fontId="0" fillId="5" borderId="1" xfId="0" applyFill="1" applyBorder="1">
      <alignment vertical="center"/>
    </xf>
    <xf numFmtId="0" fontId="1" fillId="2" borderId="1" xfId="1" applyBorder="1">
      <alignment vertical="center"/>
    </xf>
    <xf numFmtId="0" fontId="1" fillId="2" borderId="1" xfId="1" applyBorder="1" applyAlignment="1">
      <alignment vertical="center" wrapText="1"/>
    </xf>
    <xf numFmtId="9" fontId="0" fillId="5" borderId="1" xfId="0" applyNumberFormat="1" applyFill="1" applyBorder="1">
      <alignment vertical="center"/>
    </xf>
    <xf numFmtId="0" fontId="3" fillId="4" borderId="1" xfId="3" applyBorder="1">
      <alignment vertical="center"/>
    </xf>
    <xf numFmtId="0" fontId="1" fillId="2" borderId="1" xfId="1" applyBorder="1" applyAlignment="1">
      <alignment horizontal="center" vertical="center" wrapText="1"/>
    </xf>
    <xf numFmtId="0" fontId="1" fillId="2" borderId="1" xfId="1" applyBorder="1" applyAlignment="1">
      <alignment horizontal="center" vertical="center"/>
    </xf>
    <xf numFmtId="0" fontId="2" fillId="3" borderId="1" xfId="2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</cellXfs>
  <cellStyles count="4">
    <cellStyle name="나쁨" xfId="2" builtinId="27"/>
    <cellStyle name="보통" xfId="3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DB8A-A56B-4172-9C74-8340E2A91FD9}">
  <dimension ref="A1:S6"/>
  <sheetViews>
    <sheetView workbookViewId="0">
      <selection activeCell="K10" sqref="K10"/>
    </sheetView>
  </sheetViews>
  <sheetFormatPr defaultRowHeight="17" x14ac:dyDescent="0.45"/>
  <cols>
    <col min="1" max="1" width="8.6640625" style="2"/>
    <col min="2" max="2" width="16.75" style="2" bestFit="1" customWidth="1"/>
    <col min="3" max="5" width="8.6640625" style="2"/>
    <col min="6" max="6" width="10.4140625" style="2" bestFit="1" customWidth="1"/>
    <col min="7" max="7" width="11.9140625" style="2" bestFit="1" customWidth="1"/>
    <col min="8" max="8" width="9.5" style="2" bestFit="1" customWidth="1"/>
    <col min="9" max="9" width="8.6640625" style="2"/>
    <col min="10" max="10" width="15.75" style="2" bestFit="1" customWidth="1"/>
    <col min="11" max="11" width="21" style="2" bestFit="1" customWidth="1"/>
    <col min="12" max="12" width="18.25" style="2" bestFit="1" customWidth="1"/>
    <col min="13" max="13" width="13.75" style="2" bestFit="1" customWidth="1"/>
    <col min="14" max="14" width="52.25" style="2" bestFit="1" customWidth="1"/>
    <col min="15" max="15" width="15.75" style="2" bestFit="1" customWidth="1"/>
    <col min="16" max="16" width="17" style="2" bestFit="1" customWidth="1"/>
    <col min="17" max="17" width="18.25" style="2" bestFit="1" customWidth="1"/>
    <col min="18" max="18" width="16.83203125" style="2" bestFit="1" customWidth="1"/>
    <col min="19" max="19" width="60" style="2" bestFit="1" customWidth="1"/>
    <col min="20" max="16384" width="8.6640625" style="1"/>
  </cols>
  <sheetData>
    <row r="1" spans="1:19" x14ac:dyDescent="0.45">
      <c r="A1" s="3" t="s">
        <v>2</v>
      </c>
      <c r="B1" s="3" t="s">
        <v>20</v>
      </c>
      <c r="C1" s="3" t="s">
        <v>5</v>
      </c>
      <c r="D1" s="3" t="s">
        <v>4</v>
      </c>
      <c r="E1" s="3" t="s">
        <v>138</v>
      </c>
      <c r="F1" s="3" t="s">
        <v>6</v>
      </c>
      <c r="G1" s="3" t="s">
        <v>14</v>
      </c>
      <c r="H1" s="3" t="s">
        <v>15</v>
      </c>
      <c r="I1" s="3" t="s">
        <v>9</v>
      </c>
      <c r="J1" s="3" t="s">
        <v>89</v>
      </c>
      <c r="K1" s="3" t="s">
        <v>7</v>
      </c>
      <c r="L1" s="3" t="s">
        <v>10</v>
      </c>
      <c r="M1" s="3" t="s">
        <v>51</v>
      </c>
      <c r="N1" s="3"/>
      <c r="O1" s="3" t="s">
        <v>92</v>
      </c>
      <c r="P1" s="3" t="s">
        <v>8</v>
      </c>
      <c r="Q1" s="3" t="s">
        <v>11</v>
      </c>
      <c r="R1" s="3" t="s">
        <v>52</v>
      </c>
      <c r="S1" s="3"/>
    </row>
    <row r="2" spans="1:19" ht="119" x14ac:dyDescent="0.45">
      <c r="A2" s="3" t="s">
        <v>0</v>
      </c>
      <c r="B2" s="3" t="s">
        <v>21</v>
      </c>
      <c r="C2" s="3" t="s">
        <v>19</v>
      </c>
      <c r="D2" s="3" t="s">
        <v>1</v>
      </c>
      <c r="E2" s="4" t="s">
        <v>137</v>
      </c>
      <c r="F2" s="3" t="s">
        <v>18</v>
      </c>
      <c r="G2" s="3" t="s">
        <v>17</v>
      </c>
      <c r="H2" s="3" t="s">
        <v>16</v>
      </c>
      <c r="I2" s="3" t="s">
        <v>13</v>
      </c>
      <c r="J2" s="3" t="s">
        <v>90</v>
      </c>
      <c r="K2" s="4" t="s">
        <v>57</v>
      </c>
      <c r="L2" s="4" t="s">
        <v>129</v>
      </c>
      <c r="M2" s="3" t="s">
        <v>12</v>
      </c>
      <c r="N2" s="3" t="s">
        <v>36</v>
      </c>
      <c r="O2" s="3" t="s">
        <v>91</v>
      </c>
      <c r="P2" s="4" t="s">
        <v>56</v>
      </c>
      <c r="Q2" s="4" t="s">
        <v>130</v>
      </c>
      <c r="R2" s="3" t="s">
        <v>12</v>
      </c>
      <c r="S2" s="3" t="s">
        <v>36</v>
      </c>
    </row>
    <row r="3" spans="1:19" ht="51" x14ac:dyDescent="0.45">
      <c r="A3" s="2">
        <v>10001</v>
      </c>
      <c r="B3" s="2" t="s">
        <v>22</v>
      </c>
      <c r="C3" s="2">
        <v>150</v>
      </c>
      <c r="D3" s="2">
        <v>30</v>
      </c>
      <c r="E3" s="2">
        <v>0</v>
      </c>
      <c r="F3" s="5">
        <v>0.1</v>
      </c>
      <c r="G3" s="5">
        <v>0.25</v>
      </c>
      <c r="H3" s="5">
        <v>0.1</v>
      </c>
      <c r="I3" s="2">
        <v>1</v>
      </c>
      <c r="J3" s="2">
        <v>1010</v>
      </c>
      <c r="K3" s="11" t="s">
        <v>32</v>
      </c>
      <c r="L3" s="11">
        <v>1</v>
      </c>
      <c r="M3" s="11">
        <v>1</v>
      </c>
      <c r="N3" s="12" t="s">
        <v>88</v>
      </c>
      <c r="P3" s="2" t="s">
        <v>33</v>
      </c>
      <c r="Q3" s="2">
        <v>1</v>
      </c>
      <c r="R3" s="2">
        <v>1.8</v>
      </c>
    </row>
    <row r="4" spans="1:19" x14ac:dyDescent="0.45">
      <c r="A4" s="2">
        <v>10002</v>
      </c>
      <c r="B4" s="2" t="s">
        <v>23</v>
      </c>
      <c r="C4" s="2">
        <v>90</v>
      </c>
      <c r="D4" s="2">
        <v>28</v>
      </c>
      <c r="E4" s="2">
        <v>0</v>
      </c>
      <c r="F4" s="5">
        <v>0.3</v>
      </c>
      <c r="G4" s="5">
        <v>0.1</v>
      </c>
      <c r="H4" s="5">
        <v>0.2</v>
      </c>
      <c r="I4" s="2">
        <v>3</v>
      </c>
      <c r="J4" s="2">
        <v>2010</v>
      </c>
      <c r="K4" s="11" t="s">
        <v>34</v>
      </c>
      <c r="L4" s="11">
        <v>3</v>
      </c>
      <c r="M4" s="11">
        <v>1</v>
      </c>
      <c r="N4" s="12" t="s">
        <v>99</v>
      </c>
      <c r="P4" s="2" t="s">
        <v>35</v>
      </c>
      <c r="Q4" s="2">
        <v>3</v>
      </c>
      <c r="R4" s="2">
        <v>0.7</v>
      </c>
      <c r="S4" s="2" t="s">
        <v>54</v>
      </c>
    </row>
    <row r="5" spans="1:19" x14ac:dyDescent="0.45">
      <c r="A5" s="2">
        <v>10003</v>
      </c>
      <c r="B5" s="2" t="s">
        <v>25</v>
      </c>
      <c r="C5" s="2">
        <v>80</v>
      </c>
      <c r="D5" s="2">
        <v>45</v>
      </c>
      <c r="E5" s="2">
        <v>0</v>
      </c>
      <c r="F5" s="5">
        <v>0.2</v>
      </c>
      <c r="G5" s="5">
        <v>0.05</v>
      </c>
      <c r="H5" s="5">
        <v>0.1</v>
      </c>
      <c r="I5" s="2">
        <v>2</v>
      </c>
      <c r="J5" s="2">
        <v>3010</v>
      </c>
      <c r="K5" s="11" t="s">
        <v>106</v>
      </c>
      <c r="L5" s="11">
        <v>3</v>
      </c>
      <c r="M5" s="11">
        <v>1</v>
      </c>
      <c r="N5" s="12" t="s">
        <v>99</v>
      </c>
      <c r="P5" s="2" t="s">
        <v>37</v>
      </c>
      <c r="Q5" s="2">
        <v>4</v>
      </c>
      <c r="R5" s="2">
        <v>1.5</v>
      </c>
      <c r="S5" s="2" t="s">
        <v>55</v>
      </c>
    </row>
    <row r="6" spans="1:19" x14ac:dyDescent="0.45">
      <c r="A6" s="2">
        <v>10004</v>
      </c>
      <c r="B6" s="2" t="s">
        <v>24</v>
      </c>
      <c r="C6" s="2">
        <v>110</v>
      </c>
      <c r="D6" s="2">
        <v>20</v>
      </c>
      <c r="E6" s="2">
        <v>0</v>
      </c>
      <c r="F6" s="5">
        <v>0.1</v>
      </c>
      <c r="G6" s="5">
        <v>0.1</v>
      </c>
      <c r="H6" s="5">
        <v>0.15</v>
      </c>
      <c r="I6" s="2">
        <v>2</v>
      </c>
      <c r="J6" s="2">
        <v>4010</v>
      </c>
      <c r="K6" s="11" t="s">
        <v>38</v>
      </c>
      <c r="L6" s="11">
        <v>5</v>
      </c>
      <c r="M6" s="11"/>
      <c r="N6" s="12" t="s">
        <v>123</v>
      </c>
      <c r="P6" s="2" t="s">
        <v>39</v>
      </c>
      <c r="Q6" s="2">
        <v>3</v>
      </c>
      <c r="R6" s="2">
        <v>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ADE7-A9EA-4249-8EFA-07CD80AB79A9}">
  <dimension ref="A1:P5"/>
  <sheetViews>
    <sheetView tabSelected="1" workbookViewId="0">
      <selection activeCell="N5" sqref="N5"/>
    </sheetView>
  </sheetViews>
  <sheetFormatPr defaultRowHeight="17" x14ac:dyDescent="0.45"/>
  <cols>
    <col min="1" max="1" width="8.6640625" style="2"/>
    <col min="2" max="2" width="16.75" style="2" bestFit="1" customWidth="1"/>
    <col min="3" max="5" width="8.6640625" style="2"/>
    <col min="6" max="6" width="10.4140625" style="2" bestFit="1" customWidth="1"/>
    <col min="7" max="7" width="11.9140625" style="2" bestFit="1" customWidth="1"/>
    <col min="8" max="8" width="9.5" style="2" bestFit="1" customWidth="1"/>
    <col min="9" max="9" width="8.6640625" style="2"/>
    <col min="10" max="10" width="18.25" style="2" bestFit="1" customWidth="1"/>
    <col min="11" max="11" width="13.75" style="2" bestFit="1" customWidth="1"/>
    <col min="12" max="12" width="27.75" style="2" bestFit="1" customWidth="1"/>
    <col min="13" max="13" width="18.25" style="2" bestFit="1" customWidth="1"/>
    <col min="14" max="14" width="13.75" style="2" bestFit="1" customWidth="1"/>
    <col min="15" max="15" width="23.25" style="2" bestFit="1" customWidth="1"/>
    <col min="16" max="16" width="73" style="2" bestFit="1" customWidth="1"/>
    <col min="17" max="16384" width="8.6640625" style="1"/>
  </cols>
  <sheetData>
    <row r="1" spans="1:16" x14ac:dyDescent="0.45">
      <c r="A1" s="3" t="s">
        <v>2</v>
      </c>
      <c r="B1" s="3" t="s">
        <v>20</v>
      </c>
      <c r="C1" s="3" t="s">
        <v>5</v>
      </c>
      <c r="D1" s="3" t="s">
        <v>4</v>
      </c>
      <c r="E1" s="3" t="s">
        <v>139</v>
      </c>
      <c r="F1" s="3" t="s">
        <v>6</v>
      </c>
      <c r="G1" s="3" t="s">
        <v>14</v>
      </c>
      <c r="H1" s="3" t="s">
        <v>15</v>
      </c>
      <c r="I1" s="3" t="s">
        <v>9</v>
      </c>
      <c r="J1" s="3" t="s">
        <v>29</v>
      </c>
      <c r="K1" s="3" t="s">
        <v>53</v>
      </c>
      <c r="L1" s="3"/>
      <c r="M1" s="3" t="s">
        <v>29</v>
      </c>
      <c r="N1" s="3" t="s">
        <v>53</v>
      </c>
      <c r="O1" s="3"/>
      <c r="P1" s="3"/>
    </row>
    <row r="2" spans="1:16" ht="102" x14ac:dyDescent="0.45">
      <c r="A2" s="3" t="s">
        <v>0</v>
      </c>
      <c r="B2" s="3" t="s">
        <v>21</v>
      </c>
      <c r="C2" s="3" t="s">
        <v>19</v>
      </c>
      <c r="D2" s="3" t="s">
        <v>1</v>
      </c>
      <c r="E2" s="4" t="s">
        <v>140</v>
      </c>
      <c r="F2" s="3" t="s">
        <v>18</v>
      </c>
      <c r="G2" s="3" t="s">
        <v>17</v>
      </c>
      <c r="H2" s="3" t="s">
        <v>16</v>
      </c>
      <c r="I2" s="3" t="s">
        <v>13</v>
      </c>
      <c r="J2" s="4" t="s">
        <v>40</v>
      </c>
      <c r="K2" s="3" t="s">
        <v>30</v>
      </c>
      <c r="L2" s="3" t="s">
        <v>36</v>
      </c>
      <c r="M2" s="4" t="s">
        <v>41</v>
      </c>
      <c r="N2" s="3" t="s">
        <v>31</v>
      </c>
      <c r="O2" s="3" t="s">
        <v>36</v>
      </c>
      <c r="P2" s="3" t="s">
        <v>42</v>
      </c>
    </row>
    <row r="3" spans="1:16" x14ac:dyDescent="0.45">
      <c r="A3" s="2">
        <v>20001</v>
      </c>
      <c r="B3" s="2" t="s">
        <v>26</v>
      </c>
      <c r="C3" s="2">
        <v>80</v>
      </c>
      <c r="D3" s="2">
        <v>22</v>
      </c>
      <c r="E3" s="2">
        <v>0</v>
      </c>
      <c r="F3" s="5">
        <v>0.1</v>
      </c>
      <c r="G3" s="5">
        <v>0.1</v>
      </c>
      <c r="H3" s="5">
        <v>0.1</v>
      </c>
      <c r="I3" s="2">
        <v>2</v>
      </c>
      <c r="J3" s="2">
        <v>1</v>
      </c>
      <c r="K3" s="2">
        <v>1</v>
      </c>
      <c r="L3" s="2" t="s">
        <v>45</v>
      </c>
      <c r="M3" s="2">
        <v>2</v>
      </c>
      <c r="N3" s="2">
        <v>0.5</v>
      </c>
      <c r="O3" s="2" t="s">
        <v>44</v>
      </c>
      <c r="P3" s="2" t="s">
        <v>50</v>
      </c>
    </row>
    <row r="4" spans="1:16" x14ac:dyDescent="0.45">
      <c r="A4" s="2">
        <v>20002</v>
      </c>
      <c r="B4" s="2" t="s">
        <v>27</v>
      </c>
      <c r="C4" s="2">
        <v>120</v>
      </c>
      <c r="D4" s="2">
        <v>30</v>
      </c>
      <c r="E4" s="2">
        <v>0</v>
      </c>
      <c r="F4" s="5">
        <v>0.2</v>
      </c>
      <c r="G4" s="5">
        <v>0.15</v>
      </c>
      <c r="H4" s="5">
        <v>0.15</v>
      </c>
      <c r="I4" s="2">
        <v>3</v>
      </c>
      <c r="J4" s="2">
        <v>3</v>
      </c>
      <c r="K4" s="2">
        <v>1.3</v>
      </c>
      <c r="L4" s="2" t="s">
        <v>46</v>
      </c>
      <c r="M4" s="2">
        <v>5</v>
      </c>
      <c r="O4" s="2" t="s">
        <v>43</v>
      </c>
      <c r="P4" s="2" t="s">
        <v>49</v>
      </c>
    </row>
    <row r="5" spans="1:16" x14ac:dyDescent="0.45">
      <c r="A5" s="2">
        <v>20003</v>
      </c>
      <c r="B5" s="2" t="s">
        <v>28</v>
      </c>
      <c r="C5" s="2">
        <v>180</v>
      </c>
      <c r="D5" s="2">
        <v>35</v>
      </c>
      <c r="E5" s="2">
        <v>0</v>
      </c>
      <c r="F5" s="5">
        <v>0.25</v>
      </c>
      <c r="G5" s="5">
        <v>0.2</v>
      </c>
      <c r="H5" s="5">
        <v>0.2</v>
      </c>
      <c r="I5" s="2">
        <v>1</v>
      </c>
      <c r="J5" s="2">
        <v>3</v>
      </c>
      <c r="K5" s="2">
        <v>1</v>
      </c>
      <c r="L5" s="2" t="s">
        <v>46</v>
      </c>
      <c r="M5" s="2">
        <v>4</v>
      </c>
      <c r="N5" s="2">
        <v>0.8</v>
      </c>
      <c r="O5" s="2" t="s">
        <v>47</v>
      </c>
      <c r="P5" s="2" t="s">
        <v>48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E2BE-4112-4ED2-963F-F03823D626A5}">
  <dimension ref="B5:G23"/>
  <sheetViews>
    <sheetView workbookViewId="0"/>
  </sheetViews>
  <sheetFormatPr defaultRowHeight="17" x14ac:dyDescent="0.45"/>
  <cols>
    <col min="1" max="1" width="8.6640625" style="1"/>
    <col min="2" max="3" width="11.08203125" style="1" bestFit="1" customWidth="1"/>
    <col min="4" max="5" width="13.6640625" style="1" customWidth="1"/>
    <col min="6" max="6" width="17.75" style="1" bestFit="1" customWidth="1"/>
    <col min="7" max="7" width="28.08203125" style="1" customWidth="1"/>
    <col min="8" max="16384" width="8.6640625" style="1"/>
  </cols>
  <sheetData>
    <row r="5" spans="2:7" ht="34" x14ac:dyDescent="0.45">
      <c r="B5" s="4" t="s">
        <v>60</v>
      </c>
      <c r="C5" s="2">
        <v>10</v>
      </c>
    </row>
    <row r="7" spans="2:7" ht="34" x14ac:dyDescent="0.45">
      <c r="B7" s="8" t="s">
        <v>58</v>
      </c>
      <c r="C7" s="8" t="s">
        <v>59</v>
      </c>
      <c r="D7" s="7" t="s">
        <v>63</v>
      </c>
      <c r="E7" s="8" t="s">
        <v>62</v>
      </c>
      <c r="F7" s="7" t="s">
        <v>66</v>
      </c>
      <c r="G7" s="7" t="s">
        <v>67</v>
      </c>
    </row>
    <row r="8" spans="2:7" x14ac:dyDescent="0.45">
      <c r="B8" s="2">
        <v>1</v>
      </c>
      <c r="C8" s="2">
        <v>0</v>
      </c>
      <c r="D8" s="2">
        <v>0</v>
      </c>
      <c r="E8" s="2" t="s">
        <v>64</v>
      </c>
      <c r="F8" s="2"/>
      <c r="G8" s="2" t="s">
        <v>68</v>
      </c>
    </row>
    <row r="9" spans="2:7" x14ac:dyDescent="0.45">
      <c r="B9" s="2">
        <v>2</v>
      </c>
      <c r="C9" s="2">
        <v>10</v>
      </c>
      <c r="D9" s="2">
        <f>(C9-C8)/$C$5</f>
        <v>1</v>
      </c>
      <c r="E9" s="2"/>
      <c r="F9" s="2"/>
      <c r="G9" s="2" t="s">
        <v>69</v>
      </c>
    </row>
    <row r="10" spans="2:7" x14ac:dyDescent="0.45">
      <c r="B10" s="9">
        <v>3</v>
      </c>
      <c r="C10" s="9">
        <v>20</v>
      </c>
      <c r="D10" s="9">
        <f t="shared" ref="D10:D22" si="0">(C10-C9)/$C$5</f>
        <v>1</v>
      </c>
      <c r="E10" s="9" t="s">
        <v>65</v>
      </c>
      <c r="F10" s="9">
        <v>2</v>
      </c>
      <c r="G10" s="9"/>
    </row>
    <row r="11" spans="2:7" x14ac:dyDescent="0.45">
      <c r="B11" s="2">
        <v>4</v>
      </c>
      <c r="C11" s="2">
        <v>30</v>
      </c>
      <c r="D11" s="2">
        <f t="shared" si="0"/>
        <v>1</v>
      </c>
      <c r="E11" s="2"/>
      <c r="F11" s="2"/>
      <c r="G11" s="2" t="s">
        <v>69</v>
      </c>
    </row>
    <row r="12" spans="2:7" x14ac:dyDescent="0.45">
      <c r="B12" s="9">
        <v>5</v>
      </c>
      <c r="C12" s="9">
        <v>40</v>
      </c>
      <c r="D12" s="9">
        <f t="shared" si="0"/>
        <v>1</v>
      </c>
      <c r="E12" s="9" t="s">
        <v>65</v>
      </c>
      <c r="F12" s="9">
        <v>2</v>
      </c>
      <c r="G12" s="9"/>
    </row>
    <row r="13" spans="2:7" x14ac:dyDescent="0.45">
      <c r="B13" s="2">
        <v>6</v>
      </c>
      <c r="C13" s="2">
        <v>50</v>
      </c>
      <c r="D13" s="2">
        <f t="shared" si="0"/>
        <v>1</v>
      </c>
      <c r="E13" s="2"/>
      <c r="F13" s="2"/>
      <c r="G13" s="2" t="s">
        <v>69</v>
      </c>
    </row>
    <row r="14" spans="2:7" x14ac:dyDescent="0.45">
      <c r="B14" s="9">
        <v>7</v>
      </c>
      <c r="C14" s="9">
        <v>60</v>
      </c>
      <c r="D14" s="9">
        <f t="shared" si="0"/>
        <v>1</v>
      </c>
      <c r="E14" s="9" t="s">
        <v>65</v>
      </c>
      <c r="F14" s="9">
        <v>2</v>
      </c>
      <c r="G14" s="9"/>
    </row>
    <row r="15" spans="2:7" x14ac:dyDescent="0.45">
      <c r="B15" s="2">
        <v>8</v>
      </c>
      <c r="C15" s="2">
        <v>70</v>
      </c>
      <c r="D15" s="2">
        <f t="shared" si="0"/>
        <v>1</v>
      </c>
      <c r="E15" s="2"/>
      <c r="F15" s="2"/>
      <c r="G15" s="2" t="s">
        <v>69</v>
      </c>
    </row>
    <row r="16" spans="2:7" x14ac:dyDescent="0.45">
      <c r="B16" s="2">
        <v>9</v>
      </c>
      <c r="C16" s="2">
        <v>80</v>
      </c>
      <c r="D16" s="2">
        <f t="shared" si="0"/>
        <v>1</v>
      </c>
      <c r="E16" s="2"/>
      <c r="F16" s="2"/>
      <c r="G16" s="2"/>
    </row>
    <row r="17" spans="2:7" x14ac:dyDescent="0.45">
      <c r="B17" s="9">
        <v>10</v>
      </c>
      <c r="C17" s="9">
        <v>90</v>
      </c>
      <c r="D17" s="9">
        <f t="shared" si="0"/>
        <v>1</v>
      </c>
      <c r="E17" s="9" t="s">
        <v>65</v>
      </c>
      <c r="F17" s="9">
        <v>3</v>
      </c>
      <c r="G17" s="9"/>
    </row>
    <row r="18" spans="2:7" x14ac:dyDescent="0.45">
      <c r="B18" s="2">
        <v>11</v>
      </c>
      <c r="C18" s="2">
        <v>110</v>
      </c>
      <c r="D18" s="2">
        <f t="shared" si="0"/>
        <v>2</v>
      </c>
      <c r="E18" s="2"/>
      <c r="F18" s="2"/>
      <c r="G18" s="2" t="s">
        <v>69</v>
      </c>
    </row>
    <row r="19" spans="2:7" x14ac:dyDescent="0.45">
      <c r="B19" s="9">
        <v>12</v>
      </c>
      <c r="C19" s="9">
        <v>130</v>
      </c>
      <c r="D19" s="9">
        <f t="shared" si="0"/>
        <v>2</v>
      </c>
      <c r="E19" s="9" t="s">
        <v>65</v>
      </c>
      <c r="F19" s="9">
        <v>2</v>
      </c>
      <c r="G19" s="9"/>
    </row>
    <row r="20" spans="2:7" x14ac:dyDescent="0.45">
      <c r="B20" s="10">
        <v>13</v>
      </c>
      <c r="C20" s="10">
        <v>150</v>
      </c>
      <c r="D20" s="10">
        <f t="shared" si="0"/>
        <v>2</v>
      </c>
      <c r="E20" s="10"/>
      <c r="F20" s="10"/>
      <c r="G20" s="10"/>
    </row>
    <row r="21" spans="2:7" x14ac:dyDescent="0.45">
      <c r="B21" s="2">
        <v>14</v>
      </c>
      <c r="C21" s="2">
        <v>170</v>
      </c>
      <c r="D21" s="2">
        <f t="shared" si="0"/>
        <v>2</v>
      </c>
      <c r="E21" s="2"/>
      <c r="F21" s="2"/>
      <c r="G21" s="2" t="s">
        <v>69</v>
      </c>
    </row>
    <row r="22" spans="2:7" x14ac:dyDescent="0.45">
      <c r="B22" s="9">
        <v>15</v>
      </c>
      <c r="C22" s="9">
        <v>200</v>
      </c>
      <c r="D22" s="9">
        <f t="shared" si="0"/>
        <v>3</v>
      </c>
      <c r="E22" s="9" t="s">
        <v>65</v>
      </c>
      <c r="F22" s="9">
        <v>3</v>
      </c>
      <c r="G22" s="9"/>
    </row>
    <row r="23" spans="2:7" x14ac:dyDescent="0.45">
      <c r="B23" s="6" t="s">
        <v>61</v>
      </c>
      <c r="C23" s="6"/>
      <c r="D23" s="6">
        <f>SUM(D8:D22)</f>
        <v>20</v>
      </c>
      <c r="E23" s="6"/>
      <c r="F23" s="6"/>
      <c r="G23" s="6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E46D-4BB7-427B-9F0B-E6CCD845ECB0}">
  <dimension ref="A1:G30"/>
  <sheetViews>
    <sheetView topLeftCell="A13" workbookViewId="0">
      <selection activeCell="F30" sqref="F30"/>
    </sheetView>
  </sheetViews>
  <sheetFormatPr defaultRowHeight="17" x14ac:dyDescent="0.45"/>
  <cols>
    <col min="1" max="2" width="8.6640625" style="11"/>
    <col min="3" max="3" width="9.83203125" style="11" bestFit="1" customWidth="1"/>
    <col min="4" max="4" width="13.6640625" style="11" bestFit="1" customWidth="1"/>
    <col min="5" max="5" width="18.25" style="11" bestFit="1" customWidth="1"/>
    <col min="6" max="6" width="18.25" style="11" customWidth="1"/>
    <col min="7" max="7" width="71.5" style="12" customWidth="1"/>
    <col min="8" max="16384" width="8.6640625" style="1"/>
  </cols>
  <sheetData>
    <row r="1" spans="1:7" x14ac:dyDescent="0.45">
      <c r="A1" s="8" t="s">
        <v>2</v>
      </c>
      <c r="B1" s="8" t="s">
        <v>3</v>
      </c>
      <c r="C1" s="8" t="s">
        <v>72</v>
      </c>
      <c r="D1" s="8" t="s">
        <v>73</v>
      </c>
      <c r="E1" s="8" t="s">
        <v>10</v>
      </c>
      <c r="F1" s="8" t="s">
        <v>51</v>
      </c>
      <c r="G1" s="7" t="s">
        <v>75</v>
      </c>
    </row>
    <row r="2" spans="1:7" ht="119" x14ac:dyDescent="0.45">
      <c r="A2" s="8" t="s">
        <v>0</v>
      </c>
      <c r="B2" s="8" t="s">
        <v>71</v>
      </c>
      <c r="C2" s="8" t="s">
        <v>70</v>
      </c>
      <c r="D2" s="8" t="s">
        <v>74</v>
      </c>
      <c r="E2" s="7" t="s">
        <v>122</v>
      </c>
      <c r="F2" s="7" t="s">
        <v>77</v>
      </c>
      <c r="G2" s="7" t="s">
        <v>76</v>
      </c>
    </row>
    <row r="3" spans="1:7" ht="34" x14ac:dyDescent="0.45">
      <c r="A3" s="11">
        <v>1010</v>
      </c>
      <c r="B3" s="11" t="s">
        <v>22</v>
      </c>
      <c r="C3" s="11">
        <v>1</v>
      </c>
      <c r="D3" s="11" t="s">
        <v>32</v>
      </c>
      <c r="E3" s="11">
        <v>1</v>
      </c>
      <c r="F3" s="11">
        <v>1.2</v>
      </c>
      <c r="G3" s="12" t="s">
        <v>136</v>
      </c>
    </row>
    <row r="4" spans="1:7" x14ac:dyDescent="0.45">
      <c r="A4" s="11">
        <v>1020</v>
      </c>
      <c r="B4" s="11" t="s">
        <v>22</v>
      </c>
      <c r="C4" s="11">
        <v>3</v>
      </c>
      <c r="D4" s="11" t="s">
        <v>82</v>
      </c>
      <c r="E4" s="11">
        <v>2</v>
      </c>
      <c r="F4" s="11">
        <v>1</v>
      </c>
      <c r="G4" s="12" t="s">
        <v>133</v>
      </c>
    </row>
    <row r="5" spans="1:7" ht="34" x14ac:dyDescent="0.45">
      <c r="A5" s="11">
        <v>1030</v>
      </c>
      <c r="B5" s="11" t="s">
        <v>22</v>
      </c>
      <c r="C5" s="11">
        <v>5</v>
      </c>
      <c r="D5" s="11" t="s">
        <v>83</v>
      </c>
      <c r="E5" s="11">
        <v>2</v>
      </c>
      <c r="F5" s="11" t="s">
        <v>134</v>
      </c>
      <c r="G5" s="12" t="s">
        <v>132</v>
      </c>
    </row>
    <row r="6" spans="1:7" ht="34" x14ac:dyDescent="0.45">
      <c r="A6" s="11">
        <v>1040</v>
      </c>
      <c r="B6" s="11" t="s">
        <v>22</v>
      </c>
      <c r="C6" s="11">
        <v>7</v>
      </c>
      <c r="D6" s="11" t="s">
        <v>84</v>
      </c>
      <c r="E6" s="11">
        <v>2</v>
      </c>
      <c r="F6" s="11">
        <v>1</v>
      </c>
      <c r="G6" s="12" t="s">
        <v>131</v>
      </c>
    </row>
    <row r="7" spans="1:7" x14ac:dyDescent="0.45">
      <c r="A7" s="11">
        <v>1050</v>
      </c>
      <c r="B7" s="11" t="s">
        <v>22</v>
      </c>
      <c r="C7" s="11">
        <v>10</v>
      </c>
      <c r="D7" s="11" t="s">
        <v>85</v>
      </c>
      <c r="E7" s="11">
        <v>1</v>
      </c>
      <c r="F7" s="11">
        <v>1.2</v>
      </c>
      <c r="G7" s="12" t="s">
        <v>135</v>
      </c>
    </row>
    <row r="8" spans="1:7" x14ac:dyDescent="0.45">
      <c r="A8" s="11">
        <v>1060</v>
      </c>
      <c r="B8" s="11" t="s">
        <v>22</v>
      </c>
      <c r="C8" s="11">
        <v>12</v>
      </c>
      <c r="D8" s="11" t="s">
        <v>86</v>
      </c>
      <c r="E8" s="11">
        <v>2</v>
      </c>
      <c r="F8" s="11">
        <v>0.6</v>
      </c>
      <c r="G8" s="12" t="s">
        <v>116</v>
      </c>
    </row>
    <row r="9" spans="1:7" ht="34" x14ac:dyDescent="0.45">
      <c r="A9" s="11">
        <v>1070</v>
      </c>
      <c r="B9" s="11" t="s">
        <v>22</v>
      </c>
      <c r="C9" s="11">
        <v>15</v>
      </c>
      <c r="D9" s="11" t="s">
        <v>78</v>
      </c>
      <c r="E9" s="11">
        <v>1</v>
      </c>
      <c r="F9" s="11">
        <v>1</v>
      </c>
      <c r="G9" s="12" t="s">
        <v>97</v>
      </c>
    </row>
    <row r="10" spans="1:7" x14ac:dyDescent="0.45">
      <c r="A10" s="13">
        <v>2010</v>
      </c>
      <c r="B10" s="13" t="s">
        <v>23</v>
      </c>
      <c r="C10" s="13">
        <v>1</v>
      </c>
      <c r="D10" s="13" t="s">
        <v>34</v>
      </c>
      <c r="E10" s="13">
        <v>3</v>
      </c>
      <c r="F10" s="13">
        <v>1</v>
      </c>
      <c r="G10" s="14" t="s">
        <v>99</v>
      </c>
    </row>
    <row r="11" spans="1:7" x14ac:dyDescent="0.45">
      <c r="A11" s="13">
        <v>2020</v>
      </c>
      <c r="B11" s="13" t="s">
        <v>23</v>
      </c>
      <c r="C11" s="13">
        <v>3</v>
      </c>
      <c r="D11" s="13" t="s">
        <v>93</v>
      </c>
      <c r="E11" s="13">
        <v>3</v>
      </c>
      <c r="F11" s="13">
        <v>1.2</v>
      </c>
      <c r="G11" s="14" t="s">
        <v>101</v>
      </c>
    </row>
    <row r="12" spans="1:7" ht="34" x14ac:dyDescent="0.45">
      <c r="A12" s="13">
        <v>2030</v>
      </c>
      <c r="B12" s="13" t="s">
        <v>23</v>
      </c>
      <c r="C12" s="13">
        <v>5</v>
      </c>
      <c r="D12" s="13" t="s">
        <v>100</v>
      </c>
      <c r="E12" s="13">
        <v>3</v>
      </c>
      <c r="F12" s="13">
        <v>1</v>
      </c>
      <c r="G12" s="14" t="s">
        <v>103</v>
      </c>
    </row>
    <row r="13" spans="1:7" x14ac:dyDescent="0.45">
      <c r="A13" s="13">
        <v>2040</v>
      </c>
      <c r="B13" s="13" t="s">
        <v>23</v>
      </c>
      <c r="C13" s="13">
        <v>7</v>
      </c>
      <c r="D13" s="13" t="s">
        <v>35</v>
      </c>
      <c r="E13" s="13">
        <v>3</v>
      </c>
      <c r="F13" s="13" t="s">
        <v>96</v>
      </c>
      <c r="G13" s="14" t="s">
        <v>98</v>
      </c>
    </row>
    <row r="14" spans="1:7" ht="34" x14ac:dyDescent="0.45">
      <c r="A14" s="13">
        <v>2050</v>
      </c>
      <c r="B14" s="13" t="s">
        <v>23</v>
      </c>
      <c r="C14" s="13">
        <v>10</v>
      </c>
      <c r="D14" s="13" t="s">
        <v>94</v>
      </c>
      <c r="E14" s="13">
        <v>3</v>
      </c>
      <c r="F14" s="13">
        <v>1</v>
      </c>
      <c r="G14" s="14" t="s">
        <v>104</v>
      </c>
    </row>
    <row r="15" spans="1:7" x14ac:dyDescent="0.45">
      <c r="A15" s="13">
        <v>2060</v>
      </c>
      <c r="B15" s="13" t="s">
        <v>23</v>
      </c>
      <c r="C15" s="13">
        <v>12</v>
      </c>
      <c r="D15" s="13" t="s">
        <v>95</v>
      </c>
      <c r="E15" s="13">
        <v>4</v>
      </c>
      <c r="F15" s="13">
        <v>0.5</v>
      </c>
      <c r="G15" s="14" t="s">
        <v>87</v>
      </c>
    </row>
    <row r="16" spans="1:7" ht="34" x14ac:dyDescent="0.45">
      <c r="A16" s="13">
        <v>2070</v>
      </c>
      <c r="B16" s="13" t="s">
        <v>23</v>
      </c>
      <c r="C16" s="13">
        <v>15</v>
      </c>
      <c r="D16" s="13" t="s">
        <v>102</v>
      </c>
      <c r="E16" s="13">
        <v>3</v>
      </c>
      <c r="F16" s="13">
        <v>1</v>
      </c>
      <c r="G16" s="14" t="s">
        <v>105</v>
      </c>
    </row>
    <row r="17" spans="1:7" x14ac:dyDescent="0.45">
      <c r="A17" s="11">
        <v>3010</v>
      </c>
      <c r="B17" s="11" t="s">
        <v>25</v>
      </c>
      <c r="C17" s="11">
        <v>1</v>
      </c>
      <c r="D17" s="11" t="s">
        <v>106</v>
      </c>
      <c r="E17" s="11">
        <v>3</v>
      </c>
      <c r="F17" s="11">
        <v>1</v>
      </c>
      <c r="G17" s="12" t="s">
        <v>99</v>
      </c>
    </row>
    <row r="18" spans="1:7" x14ac:dyDescent="0.45">
      <c r="A18" s="11">
        <v>3020</v>
      </c>
      <c r="B18" s="11" t="s">
        <v>25</v>
      </c>
      <c r="C18" s="11">
        <v>3</v>
      </c>
      <c r="D18" s="11" t="s">
        <v>107</v>
      </c>
      <c r="E18" s="11">
        <v>4</v>
      </c>
      <c r="F18" s="11">
        <v>0.8</v>
      </c>
      <c r="G18" s="12" t="s">
        <v>111</v>
      </c>
    </row>
    <row r="19" spans="1:7" x14ac:dyDescent="0.45">
      <c r="A19" s="11">
        <v>3030</v>
      </c>
      <c r="B19" s="11" t="s">
        <v>25</v>
      </c>
      <c r="C19" s="11">
        <v>5</v>
      </c>
      <c r="D19" s="11" t="s">
        <v>109</v>
      </c>
      <c r="E19" s="11">
        <v>3</v>
      </c>
      <c r="F19" s="11">
        <v>1.8</v>
      </c>
      <c r="G19" s="12" t="s">
        <v>113</v>
      </c>
    </row>
    <row r="20" spans="1:7" ht="34" x14ac:dyDescent="0.45">
      <c r="A20" s="11">
        <v>3040</v>
      </c>
      <c r="B20" s="11" t="s">
        <v>25</v>
      </c>
      <c r="C20" s="11">
        <v>7</v>
      </c>
      <c r="D20" s="11" t="s">
        <v>108</v>
      </c>
      <c r="E20" s="11">
        <v>4</v>
      </c>
      <c r="F20" s="11" t="s">
        <v>114</v>
      </c>
      <c r="G20" s="12" t="s">
        <v>115</v>
      </c>
    </row>
    <row r="21" spans="1:7" x14ac:dyDescent="0.45">
      <c r="A21" s="11">
        <v>3050</v>
      </c>
      <c r="B21" s="11" t="s">
        <v>25</v>
      </c>
      <c r="C21" s="11">
        <v>10</v>
      </c>
      <c r="D21" s="11" t="s">
        <v>79</v>
      </c>
      <c r="E21" s="11">
        <v>4</v>
      </c>
      <c r="F21" s="11">
        <v>0.6</v>
      </c>
      <c r="G21" s="12" t="s">
        <v>116</v>
      </c>
    </row>
    <row r="22" spans="1:7" ht="34" x14ac:dyDescent="0.45">
      <c r="A22" s="11">
        <v>3060</v>
      </c>
      <c r="B22" s="11" t="s">
        <v>25</v>
      </c>
      <c r="C22" s="11">
        <v>12</v>
      </c>
      <c r="D22" s="11" t="s">
        <v>37</v>
      </c>
      <c r="E22" s="11">
        <v>3</v>
      </c>
      <c r="F22" s="11">
        <v>1.5</v>
      </c>
      <c r="G22" s="12" t="s">
        <v>112</v>
      </c>
    </row>
    <row r="23" spans="1:7" ht="34" x14ac:dyDescent="0.45">
      <c r="A23" s="11">
        <v>3070</v>
      </c>
      <c r="B23" s="11" t="s">
        <v>25</v>
      </c>
      <c r="C23" s="11">
        <v>15</v>
      </c>
      <c r="D23" s="11" t="s">
        <v>80</v>
      </c>
      <c r="E23" s="11">
        <v>4</v>
      </c>
      <c r="F23" s="11">
        <v>1</v>
      </c>
      <c r="G23" s="12" t="s">
        <v>110</v>
      </c>
    </row>
    <row r="24" spans="1:7" x14ac:dyDescent="0.45">
      <c r="A24" s="13">
        <v>4010</v>
      </c>
      <c r="B24" s="13" t="s">
        <v>24</v>
      </c>
      <c r="C24" s="13">
        <v>1</v>
      </c>
      <c r="D24" s="13" t="s">
        <v>38</v>
      </c>
      <c r="E24" s="13">
        <v>5</v>
      </c>
      <c r="F24" s="13"/>
      <c r="G24" s="14" t="s">
        <v>123</v>
      </c>
    </row>
    <row r="25" spans="1:7" x14ac:dyDescent="0.45">
      <c r="A25" s="13">
        <v>4020</v>
      </c>
      <c r="B25" s="13" t="s">
        <v>24</v>
      </c>
      <c r="C25" s="13">
        <v>3</v>
      </c>
      <c r="D25" s="13" t="s">
        <v>117</v>
      </c>
      <c r="E25" s="13">
        <v>3</v>
      </c>
      <c r="F25" s="13">
        <v>0.8</v>
      </c>
      <c r="G25" s="14" t="s">
        <v>124</v>
      </c>
    </row>
    <row r="26" spans="1:7" ht="34" x14ac:dyDescent="0.45">
      <c r="A26" s="13">
        <v>4030</v>
      </c>
      <c r="B26" s="13" t="s">
        <v>24</v>
      </c>
      <c r="C26" s="13">
        <v>5</v>
      </c>
      <c r="D26" s="13" t="s">
        <v>119</v>
      </c>
      <c r="E26" s="13">
        <v>6</v>
      </c>
      <c r="F26" s="13"/>
      <c r="G26" s="14" t="s">
        <v>126</v>
      </c>
    </row>
    <row r="27" spans="1:7" x14ac:dyDescent="0.45">
      <c r="A27" s="13">
        <v>4040</v>
      </c>
      <c r="B27" s="13" t="s">
        <v>24</v>
      </c>
      <c r="C27" s="13">
        <v>7</v>
      </c>
      <c r="D27" s="13" t="s">
        <v>118</v>
      </c>
      <c r="E27" s="13">
        <v>3</v>
      </c>
      <c r="F27" s="13">
        <v>1</v>
      </c>
      <c r="G27" s="14" t="s">
        <v>125</v>
      </c>
    </row>
    <row r="28" spans="1:7" x14ac:dyDescent="0.45">
      <c r="A28" s="13">
        <v>4050</v>
      </c>
      <c r="B28" s="13" t="s">
        <v>24</v>
      </c>
      <c r="C28" s="13">
        <v>10</v>
      </c>
      <c r="D28" s="13" t="s">
        <v>81</v>
      </c>
      <c r="E28" s="13">
        <v>6</v>
      </c>
      <c r="F28" s="13"/>
      <c r="G28" s="14" t="s">
        <v>127</v>
      </c>
    </row>
    <row r="29" spans="1:7" x14ac:dyDescent="0.45">
      <c r="A29" s="13">
        <v>4060</v>
      </c>
      <c r="B29" s="13" t="s">
        <v>24</v>
      </c>
      <c r="C29" s="13">
        <v>12</v>
      </c>
      <c r="D29" s="13" t="s">
        <v>120</v>
      </c>
      <c r="E29" s="13">
        <v>4</v>
      </c>
      <c r="F29" s="13">
        <v>0.5</v>
      </c>
      <c r="G29" s="14" t="s">
        <v>87</v>
      </c>
    </row>
    <row r="30" spans="1:7" x14ac:dyDescent="0.45">
      <c r="A30" s="13">
        <v>4070</v>
      </c>
      <c r="B30" s="13" t="s">
        <v>24</v>
      </c>
      <c r="C30" s="13">
        <v>15</v>
      </c>
      <c r="D30" s="13" t="s">
        <v>121</v>
      </c>
      <c r="E30" s="13">
        <v>5</v>
      </c>
      <c r="F30" s="13"/>
      <c r="G30" s="14" t="s">
        <v>128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아군 유닛</vt:lpstr>
      <vt:lpstr>적군 유닛</vt:lpstr>
      <vt:lpstr>경험치</vt:lpstr>
      <vt:lpstr>직업 스킬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user</cp:lastModifiedBy>
  <dcterms:created xsi:type="dcterms:W3CDTF">2026-03-30T01:14:21Z</dcterms:created>
  <dcterms:modified xsi:type="dcterms:W3CDTF">2026-04-02T03:25:06Z</dcterms:modified>
</cp:coreProperties>
</file>